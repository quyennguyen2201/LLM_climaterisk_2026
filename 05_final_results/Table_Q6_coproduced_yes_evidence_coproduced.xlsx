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nzies-my.sharepoint.com/personal/quyen_nguyen_earthsciences_nz/Documents/Offline_work/2_GNS/19_LLM_ClimateRisk2026/4-Github2026_LLM/LLM_climaterisk_2026/05_final_results/"/>
    </mc:Choice>
  </mc:AlternateContent>
  <xr:revisionPtr revIDLastSave="64" documentId="8_{FA4E3E48-33A4-489F-959A-3BBE1F319C9E}" xr6:coauthVersionLast="47" xr6:coauthVersionMax="47" xr10:uidLastSave="{DFDA101D-E524-4F5A-AFF4-BAB1921CAA29}"/>
  <bookViews>
    <workbookView xWindow="-28920" yWindow="-120" windowWidth="29040" windowHeight="15720" activeTab="6" xr2:uid="{038F07DA-2966-4B9A-9504-E81F63F59732}"/>
  </bookViews>
  <sheets>
    <sheet name="Detail1" sheetId="5" r:id="rId1"/>
    <sheet name="Detail2" sheetId="6" r:id="rId2"/>
    <sheet name="Detail3" sheetId="7" r:id="rId3"/>
    <sheet name="Detail4" sheetId="8" r:id="rId4"/>
    <sheet name="Detail5" sheetId="9" r:id="rId5"/>
    <sheet name="Summary" sheetId="2" r:id="rId6"/>
    <sheet name="Table_Q6_coproduced_yes_evidenc" sheetId="1" r:id="rId7"/>
  </sheets>
  <definedNames>
    <definedName name="_xlnm._FilterDatabase" localSheetId="6" hidden="1">Table_Q6_coproduced_yes_evidenc!$A$1:$H$89</definedName>
  </definedNames>
  <calcPr calcId="0"/>
  <pivotCaches>
    <pivotCache cacheId="4" r:id="rId8"/>
  </pivotCaches>
</workbook>
</file>

<file path=xl/calcChain.xml><?xml version="1.0" encoding="utf-8"?>
<calcChain xmlns="http://schemas.openxmlformats.org/spreadsheetml/2006/main">
  <c r="A89" i="1" l="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<sst xmlns="http://schemas.openxmlformats.org/spreadsheetml/2006/main" count="866" uniqueCount="203">
  <si>
    <t>company_name</t>
  </si>
  <si>
    <t>period_year</t>
  </si>
  <si>
    <t>Q14_answer</t>
  </si>
  <si>
    <t>Q14_confidence</t>
  </si>
  <si>
    <t>Q14_evidence</t>
  </si>
  <si>
    <t>AA INSURANCE LIMITED</t>
  </si>
  <si>
    <t>Yes</t>
  </si>
  <si>
    <t>medium</t>
  </si>
  <si>
    <t>These were further developed through a workshop held in November 2024 with a variety of business units including Claims, Pricing, Underwriting, Product, Corporate Affairs, Sustainability and Risk, to ensure the scenarios were relevant and appropriate for our business. The group identified key uncertainties and drivers of change including EV trends, reinsurance and government action, which were integrated into the scenario narratives.</t>
  </si>
  <si>
    <t>AFT PHARMACEUTICALS LIMITED</t>
  </si>
  <si>
    <t>high</t>
  </si>
  <si>
    <t>In collaboration with Tonkin &amp; Taylor, AFT contributed to the Technical Working Group supporting the development of the healthcare sector-level climate scenarios. The approach to developing the scenarios was based on guidance from the Taskforce for Climate Related Financial Disclosures (TCFD) and the New Zealand External Reporting Board (XRB). Six steps were undertaken, as shown in Figure 5, with a series of workshops being held with the TWG as the project progressed.</t>
  </si>
  <si>
    <t>In collaboration with Tonkin &amp; Taylor and other climate reporting entities in the healthcare sector, AFT contributed to the Technical Working Group (TWG) supporting the development of the health sector-level climate change scenarios in 2023 - 2024. Six steps were undertaken, with a series of workshops being held with the TWG as the project progressed.</t>
  </si>
  <si>
    <t>AIA NEW ZEALAND LIMITED</t>
  </si>
  <si>
    <t>AIA NZ participated in the FSC working group that developed industry scenarios for life and health insurers and fund managers. ... Workshops were held with subject matter experts across the business to answer the focal question "How is AIA NZ impacted under different climate scenarios?". The full value chain of our operations was considered including impacts on distribution and suppliers. The risks and opportunities generated during these workshops were collated into themes by the CRD working group.</t>
  </si>
  <si>
    <t>AIG INSURANCE NEW ZEALAND LIMITED</t>
  </si>
  <si>
    <t>"AIG New Zealand participated in this initiative during 2022 to co-design and collaboratively develop these scenarios along with other industry members... In 2023, AIG New Zealand engaged a third-party to help facilitate the scenario development and analysis process with a cross functional working group of AIG New Zealand management and business representatives, and through a series of workshops..."</t>
  </si>
  <si>
    <t>ARGOSY PROPERTY LIMITED</t>
  </si>
  <si>
    <t>"Our scenario analysis is based on the Climate Scenarios for the Construction and Property Sector NgÄ Horopaki Ä€huarangi mÅ te RÄngai Hanganga me ngÄ Whare, developed by Beca Limited for the New Zealand Green Building Council. Argosy along with industry peers contributed to the development of these scenarios."</t>
  </si>
  <si>
    <t>Argosy, along with industry peers, contributed to the development of these scenarios.</t>
  </si>
  <si>
    <t>ARVIDA GROUP LIMITED</t>
  </si>
  <si>
    <t>"the Company jointly led a project, with Te Whatu Ora and around 30 other health sector participants, to develop a set of sector scenarios with consultants Tonkin + Taylor. The Company's Head of Sustainability &amp; Compliance was the Chair of the Technical Working Group and the Company's GM Strategy was part of the leadership group. Through a series of workshops, the group developed three sector scenarios."</t>
  </si>
  <si>
    <t>"These were informed by: â€¢ Climate Change Scenarios for the Health Sector (available at esr.cri.nz) â€¢ Climate Scenarios for the Construction and Property Sector (available at nzgbc.org.nz), both of which Arvida senior executive and Leadership Team members were involved in developing."</t>
  </si>
  <si>
    <t>ASTERON LIFE LIMITED</t>
  </si>
  <si>
    <t>As a member of the Financial Services Council (FSC), we were part of a working group in FY23 that developed climate scenarios for the life insurance sector. ... participated in a Financial Services Council working group to develop climate change scenarios for our industry (FY22)</t>
  </si>
  <si>
    <t>As a member of the Financial Services Council (FSC), we were part of a working group in FY23 that developed climate scenarios for the life insurance sector.</t>
  </si>
  <si>
    <t>AUCKLAND COUNCIL</t>
  </si>
  <si>
    <t>We worked with a range of stakeholders during the scenario development and analysis process including Earth Sciences New Zealand, Auckland Council group staff from areas such as sustainability, finance, infrastructure strategy, risk and MÄori outcomes. We held workshops and walkthrough sessions to share the refreshed scenarios and make sure we got a wide mix of ideas and perspectives.</t>
  </si>
  <si>
    <t>BANK OF NEW ZEALAND</t>
  </si>
  <si>
    <t>"The development of the three scenario narratives was led by Sector Working Groups, consisting of colleagues from across the bank representing core BNZ functions, sector experts, and functional representatives from strategy, finance, risk, analytics, and sustainability." ... "BNZ adopted the six process steps detailed in the XRB's 2023 Staff Guidance Entity Scenario Development." Step 1: "Engage stakeholders and prime an effective group" ... "Strategic resilience was then assessed in two steps: 1. A working group workshop to identify likely responses to the scenarios and associated impacts on BNZ's lending to key sectors; and 2. Two executive level workshops to assess the implications of each scenario for the BNZ business model."</t>
  </si>
  <si>
    <t>BRISCOE GROUP LIMITED</t>
  </si>
  <si>
    <t>In the first half of the year, we collaborated with other retail industry participants to co-design a set of integrated climate change scenarios for New Zealand's retail sector.</t>
  </si>
  <si>
    <t>In 2023, we collaborated with other New Zealand retailers that are climate reporting entities and KPMG New Zealand to co-design a set of integrated climate change scenarios for New Zealand's retail sector.</t>
  </si>
  <si>
    <t>CDL INVESTMENTS NEW ZEALAND LIMITED</t>
  </si>
  <si>
    <t>"Through workshops held with WSP and a survey sent to CDI participants, these risks and opportunities were reviewed, refined and prioritised against climate scenarios, risk rating criteria and relevant time horizons developed between CDI and WSP based on relevance to CDI operations."</t>
  </si>
  <si>
    <t>CHINA CONSTRUCTION BANK (NEW ZEALAND) LIMITED</t>
  </si>
  <si>
    <t>CCB NZL has utilised the common sets of NZBA-commissioned banking sectorial narratives, developed alongside its banking peers with EY in 2023, as the basis of its scenario analysis. [...] A high-level set of climate-related risks that banks should consider as part of their risk assessment with risks identified based on input from project stakeholders.</t>
  </si>
  <si>
    <t>CHORUS LIMITED</t>
  </si>
  <si>
    <t>"In June 2023, the Telecommunications Forum (TCF) established a Climate Change Working Group. This development saw members of the New Zealand telecommunications sector come together to better understand the potential climate scenarios that we could face as a sector. Chorus' Head of Sustainability, Sustainability Team and Chorus' Principal Solution Architect, who is responsible for drafting Chorus' resiliency strategy, attended two full day workshops to bring their sector expertise to this engagement process and provide the inputs for the scenario development. The Head of Sustainability joined a smaller project management team and wider stakeholder group to support and oversee the work."</t>
  </si>
  <si>
    <t>Chorus' Head of Sustainability formed part of a project management team and wider stakeholder group to support and oversee the work. Management and ARMC provided oversight of the development of the climate scenarios and scenario analysis process, including having an opportunity to provide feedback on the draft scenarios prior to finalisation of the report.</t>
  </si>
  <si>
    <t>CHRISTCHURCH INTERNATIONAL AIRPORT LIMITED</t>
  </si>
  <si>
    <t>To develop and analyse the scenarios, a team of subject matter experts from across the business participated in a workshop session, facilitated by Deloitte, and followed the process outlined in the table opposite. [...] Participants agreed the focal question [...] CIAL's view of the key driving forces was determined, with participants choosing from a long list [...] Participants worked in groups to formulate the driving forces' narratives under each scenario and time horizon [...] The results of this session were consolidated into the scenario narratives as provided below, which were reviewed, challenged, and endorsed by the ELT and Board.</t>
  </si>
  <si>
    <t>"To develop the scenarios, a team of subject matter experts from across the business participated in a workshop session, facilitated by Deloitte, and followed the process outlined in the table opposite." And: "In the FY25 Scenario refresh session, the group reconsidered the focal question. Participants agreed to reframe the focal question... CIAL's view of the key driving forces was determined, with participants choosing from a long list drawn from various sector scenarios... The key driving forces were ranked on an influence / certainty matrix... Participants worked in groups to formulate the driving forces' narratives under each scenario and time horizon... The results of this session were consolidated into the scenario narratives as provided below, which were reviewed, challenged, and endorsed by the ELT and Board."</t>
  </si>
  <si>
    <t>CHUBB LIFE INSURANCE NEW ZEALAND LIMITED</t>
  </si>
  <si>
    <t>Chubb Life was a member of the FSC's Climate Working Group, which was involved in the development of the climate scenario narratives for the financial services sector. The process to determine the scenario narratives followed five stages: 1. Engagement of stakeholders, including the establishment of the working group and the Steering Committee. [...] 4. Selected the scenarios and identified risks, opportunities and their pathways. Work was undertaken with the members to identify the key climate-related risks, and the impacts of these risks under different scenarios.</t>
  </si>
  <si>
    <t>The process to determine the scenario narratives followed five stages: 1. Engagement of stakeholders, including the establishment of the working group and the Steering Committee; 2. Setting the focal question, which included determining the time horizons and key categories of climate-related risk; 3. Identifying driving forces, utilizing STEEP analysis... 4. Selected the scenarios and identified risks, opportunities and their pathways. Work was undertaken with the members to identify the key climate-related risks, and the impacts of these risks under different scenarios; and 5. Draft and revising the narratives.</t>
  </si>
  <si>
    <t>COMVITA LIMITED</t>
  </si>
  <si>
    <t>We utilised the Ag Sector Scenarios temperature outcomes and pathways developed given the nature of our value chain and because Comvita was involved in the working group responsible for this scenario development.</t>
  </si>
  <si>
    <t>The NZ Agriculture Sector Climate Change Scenarios were used as a starting point given the nature of our business and Comvita's participation in the working group responsible for their development.</t>
  </si>
  <si>
    <t>CONTACT ENERGY LIMITED</t>
  </si>
  <si>
    <t>Our three chosen climate scenarios were developed following engagement with stakeholders across the business and the energy sector, using our focal question and the STEEP framework analysis [...] with our involvement the Energy Sector Climate Scenarios for the Aotearoa Circle in FY24, we have taken the opportunity to refresh our climate scenario analysis. Consultants PwC facilitated this refresh process.</t>
  </si>
  <si>
    <t>Our three chosen climate scenarios were developed following engagement with stakeholders across our business and the energy sector, using our focal question and the STEEP framework analysis. [...] with the introduction of Climate-related Disclosures and our involvement the Energy Sector Climate Scenarios for the Aotearoa Circle in FY24, we took the opportunity to refresh our climate scenario analysis with the support of consultants PwC.</t>
  </si>
  <si>
    <t>EROAD LIMITED</t>
  </si>
  <si>
    <t>"During October 2023 to March 2024 EROAD's climate risk and scenario analysis activities included a series of workshops with and continuous feedback from key stakeholders and representatives from across EROAD's value chain and its business segments." and "external advisors from PwC NZ worked with representatives from EROAD's Sustainability Committee and across EROAD's value chain to plan and facilitate workshops and data insights enabling analysis and then development of three climate-related scenarios"</t>
  </si>
  <si>
    <t>"EROAD's climate scenario analysis in FY24 was supported by PwC NZ and involved cross-functional participation from across the business and value chain. Between October 2023 and March 2024, the scenario development process included a series of workshops and continuous feedback with key internal stakeholders, including representatives from inbound logistics, product development, operations and manufacturing (including supply chain), sales, marketing, finance, legal, and People &amp; Capability."</t>
  </si>
  <si>
    <t>FIDELITY LIFE ASSURANCE COMPANY LIMITED</t>
  </si>
  <si>
    <t>"During 2022 and 2023, Fidelity Life participated in the development of sector scenario narratives for the life and health insurance and funds management sectors. With the support of EY, this work was led by the Financial Services Council (FSC), an industry association that represents the New Zealand life and health insurance and funds management sectors." Additionally, the FSC scenarios were developed based on "FSC literature review and stakeholder engagement."</t>
  </si>
  <si>
    <t>FLETCHER BUILDING LIMITED</t>
  </si>
  <si>
    <t>"The NZGBC scenarios were developed with participation from a range of industry and other stakeholders, including building portfolio owners and managers, property developers, construction companies, building product manufacturers, building design consultancies, representatives from the insurance and banking sectors, and public sector entities. Fletcher Building participated in the development of the NZGBC scenarios, with representatives on both the Leadership Group and Technical Working Group during development of the scenarios."</t>
  </si>
  <si>
    <t>"In FY24, Fletcher Building assessed three climate scenarios based on the New Zealand Green Building Council (NZGBC) 'Climate Scenarios for the Construction and Property Sector'. These were developed with participation from a wide range of industry and public sector stakeholders, and Fletcher Building contributed through representation on the NZGBC Leadership Group and Technical Working Group."</t>
  </si>
  <si>
    <t>FMG INSURANCE LIMITED</t>
  </si>
  <si>
    <t>In September 2023, a wider group was brought in to assist in the creation of the scenario narratives. FMG hosted two Scenario Immersion Workshops to downscale the sector-level scenarios. Workshop attendees were first immersed in the ICNZ sector scenarios to develop a common understanding of the scenarios. The attendees then reviewed the drivers of change (or 'drivers') included in the ICNZ sector scenarios for their relevance to FMG... In October 2023, FMG hosted two impacts and implications workshops. The purpose of these workshops was to interrogate FMG's risks and opportunities under each scenario.</t>
  </si>
  <si>
    <t>"FMG's approach to developing its Climate-related risks and opportunities, in addition to preparing its disclosures, was intentionally inclusive, involving employees across a range of tenure, seniority, experience, and business functions." / "A wide group of stakeholders from across the business were brought together for these workshops. Participants identified risks and opportunities for each scenario across three discreet timeframes and assessed the impacts across FMG's business model and strategy." / "FMG hosted two Scenario Immersion Workshops to downscale the sector-level scenarios."</t>
  </si>
  <si>
    <t>FOLEY WINES LIMITED</t>
  </si>
  <si>
    <t>In developing its sector scenarios, The Aotearoa Circle brought together the diversity of the agriculture sector to collaborate, share knowledge, science and insights, and inform the outcome.</t>
  </si>
  <si>
    <t>FREIGHTWAYS GROUP LIMITED</t>
  </si>
  <si>
    <t>Key personnel and stakeholders in management positions including members of our ELT, sustainability and finance teams were brought together by Tadpole to be involved in the assessment of defining key outputs, roles, and responsibilities of the analysis process. ... Freightways has been working collaboratively with other transport sector organisations to undertake transport sector-level scenario analysis with the assistance of The Aotearoa Circle.</t>
  </si>
  <si>
    <t>"Alongside the scenario development, Freightways participated in The Aotearoa Circle Transport Sector Climate Change Scenarios ('Transport Sector Scenarios'). As these workstreams occurred in parallel, the Freightways scenarios are modelled on and influenced by the Transport Sector Scenarios but are tailored to the Freightways business and its operation."</t>
  </si>
  <si>
    <t>HALLENSTEIN GLASSON HOLDINGS LIMITED</t>
  </si>
  <si>
    <t>The scenario planning process outlined above has had the full backing and participation of the Executive team. The Sustainability Committee and Board of Directors had oversight of the process with regular updates. Participation in the retail sector scenario analysis in 2023 provided access to expertise within KPMG. HGH also engaged the external sustainability consulting firm, Tadpole Consulting Limited, to support and facilitate the creation of our climate-related disclosures, including the development and delivery of the scenario analysis process, in line with XRB guidelines.</t>
  </si>
  <si>
    <t>IAG NEW ZEALAND LIMITED</t>
  </si>
  <si>
    <t>IAG New Zealand was involved in creating the Insurance Council of New Zealand | Te KÄhui Inihua o Aotearoa insurance sector climate scenarios (ICNZ scenarios). Those scenarios have been used as a basis for the development of our own entity-level scenarios.</t>
  </si>
  <si>
    <t>"IAG New Zealand was involved in creating the Insurance Council of New Zealand | Te KÄhui Inihua o Aotearoa insurance sector climate scenarios (ICNZ scenarios) in FY22 and those scenarios continue to be used as a basis for our own entity-level scenarios." | "The refresh was informed by IAG New Zealand's transition planning process, alongside engagement with IAG Group on the development of Group-wide scenario narratives, as well as by retesting the scenarios with the Climate Working Group."</t>
  </si>
  <si>
    <t>INVESTORE PROPERTY LIMITED</t>
  </si>
  <si>
    <t>"There were 45 organisations involved in the development of the sector scenarios, including listed property companies, retirement village and aged care operators, property developers and materials suppliers. A number of workshops were held over a period of approximately 9 months, with the draft scenarios being reviewed by the working group as well as interested stakeholders such as major investors."</t>
  </si>
  <si>
    <t>The sector scenario analysis for the construction and property sector was led by the New Zealand Green Building Council, with involvement from entities across the value chain within the sector. Beca facilitated the development of the scenarios, which were developed through workshops involving the technical working group. The scenarios were then approved by the leadership group, on recommendation from the technical working group. Investore's manager, SIML, was an active participant in the development of the sector scenarios for the construction and property sector, including being involved in both the leadership group and the technical working group.</t>
  </si>
  <si>
    <t>KIWI PROPERTY GROUP LIMITED</t>
  </si>
  <si>
    <t>Together with other industry participants, we participated in the development of climate scenarios for the construction and property sector through a technical working group established in 2022 by the New Zealand Green Building Council (NZBGC). BECA facilitated and provided technical expertise to the working group.</t>
  </si>
  <si>
    <t>"Together with other industry participants, we participated in the development of climate scenarios for the construction and property sector through a technical working group established in 2022 by the New Zealand Green Building Council (NZGBC). Beca facilitated and provided technical expertise to the working group."</t>
  </si>
  <si>
    <t>LIVESTOCK IMPROVEMENT CORPORATION LIMITED</t>
  </si>
  <si>
    <t>In the current reporting period we collaborated with Fonterra and Silver Fern Farms to develop core scenario elements that were more specific to the dairy and beef sectors and common across the three cooperatives, such as driving forces, temperature outcomes, emissions pathways, and high-level narratives.</t>
  </si>
  <si>
    <t>MERCURY NZ LIMITED</t>
  </si>
  <si>
    <t>We also collaborated on the Energy and Telecommunications Sector climate-related scenarios with diverse businesses and external parties. These helped us test and validate our scenarios, risks and opportunities and identify any gaps in our analysis.</t>
  </si>
  <si>
    <t>"We collaborated with external stakeholders, including through the Energy and Telecommunications Sector climate-related scenarios development, to test and validate our scenarios, risks and opportunities and identify any gaps in our analysis." And: "This process included multiple workshops with internal subject matter experts across business units..."</t>
  </si>
  <si>
    <t>METLIFECARE LIMITED</t>
  </si>
  <si>
    <t>Our scenarios largely drew from the underlying assumptions and data sets that informed the Construction and Property sector scenarios, which were developed by a working group led by the New Zealand Green Building Council, with participation by Metlifecare representatives. We also participated in and took learnings from the Healthcare sector scenario development. Our company-level scenarios were collaboratively developed with key internal stakeholders, who provided input on assumptions specific to Metlifecare's operations and activities.</t>
  </si>
  <si>
    <t>"Our company-level scenarios were collaboratively developed with key internal stakeholders, who provided input on assumptions specific to Metlifecare's operations and activities." And: "Our scenarios largely drew from the underlying assumptions and data sets that informed the Construction and Property sector scenarios, which were developed by a working group led by the New Zealand Green Building Council, with participation by Metlifecare representatives. We also participated in and took learnings from the Healthcare sector scenario development in FY24."</t>
  </si>
  <si>
    <t>MOVE LOGISTICS GROUP LIMITED</t>
  </si>
  <si>
    <t>A group of executives, general management and subject matter experts from across the business participated in several workshop sessions, facilitated by external consultants, to develop MOVE's entity level climate scenario analysis in 2024 and to refine and update the scenario narratives in 2025. [...] The political, social, and economic context of each of the key driving forces was explored, with participants working in groups and brainstorming potential developments under each scenario and time horizon.</t>
  </si>
  <si>
    <t>NELSON BUILDING SOCIETY</t>
  </si>
  <si>
    <t>"Design principles - Members of our Board, Senior Leadership Team, and representatives from across our business agreed design principles for our climate narratives." "Within FY25, NBS revised the scenario analysis previously undertaken with KPMG with support from Oxygen Consulting. Senior Leaders and relevant stakeholders from across our business attended a workshop facilitated by Oxygen Consulting to review the FY24 climate-related risks and opportunities and agree our management responses."</t>
  </si>
  <si>
    <t>NEW ZEALAND KING SALMON INVESTMENTS LIMITED</t>
  </si>
  <si>
    <t>In FY25, NZKS became a partner to The Aotearoa Circle. This enabled the involvement and active collaboration with key stakeholders in the seafood industry to help the development of the Seafood Nature, Climate and Te Ao MÄori Scenarios. This is an ongoing project that will be finalised in FY26. The process is facilitated by an external sustainability advisory firm and involved multiple workshops and meetings.</t>
  </si>
  <si>
    <t>NIB NZ LIMITED</t>
  </si>
  <si>
    <t>"the scenario narratives are broadly aligned with and drew on modelling in the Financial Services Council (FSC) NZ financial services sector climate scenarios published in 2023 (FSC scenarios) which we were proud to be a part of developing via our FSC membership." And: "During the year we engaged with a number of external stakeholders on climate action including contributing to the development of the FSC scenarios as part of our membership of the industry body."</t>
  </si>
  <si>
    <t>OCEANIA HEALTHCARE LIMITED</t>
  </si>
  <si>
    <t>Oceania participated as a member of the Technical Working Group in the development of climate scenarios on behalf of the construction and property sector coordinated by the New Zealand Green Business Council (NZGBC) and facilitated by Beca, in 2022-2023. [...] Oceania also participated as a member of the Technical Working Group in the development of climate scenarios on behalf of the healthcare sector, which were facilitated by Tonkin+Taylor (Climate Scenarios for the Healthcare Sector). [...] Oceania's entity level scenario analysis process was conducted with input from management and SMEs across a series of workshops, with executive sponsorship from the CFO.</t>
  </si>
  <si>
    <t>Oceania contributed to the development of climate-related scenarios for both the Construction and Property Sector, and the Health Sector (together, the Sector Scenarios), participating as a member of the respective Technical Working Groups. ... Oceania's entity level scenario analysis process was conducted with input from management and subject matter experts including clinical, operational and functional expertise. Across a series of workshops, with executive sponsorship from the CFO, Oceania developed three climate scenarios from the Sector Scenarios.</t>
  </si>
  <si>
    <t>PARTNERS LIFE LIMITED</t>
  </si>
  <si>
    <t>PLL joined the Financial Services Council ('FSC') initiative to develop scenario narratives for the financial services sector and was actively involved with their development.</t>
  </si>
  <si>
    <t>Following the Company's active involvement in the FSC initiative and development of the sectoral scenarios, our scenarios are aligned to the sectoral scenarios defined by the FSC in 2023.</t>
  </si>
  <si>
    <t>PGG WRIGHTSON LIMITED</t>
  </si>
  <si>
    <t>PGW participated in the development of these scenarios, with staff attending several sector-based workshops in 2022, before the release of the scenarios in April 2023.</t>
  </si>
  <si>
    <t>PGW was a participant in the work to develop these scenarios, with PGW staff attending a number of sector-based scenario workshops hosted by The Aotearoa Circle.</t>
  </si>
  <si>
    <t>PORT OF TAURANGA LIMITED</t>
  </si>
  <si>
    <t>The Port's three climate scenarios were developed with assistance from external experts and input from external stakeholders to challenge and test the assumptions and findings of each scenario.</t>
  </si>
  <si>
    <t>"The Port's three climate scenarios were developed with assistance from external experts and input from external stakeholders to challenge and test the assumptions and findings of each scenario."</t>
  </si>
  <si>
    <t>PRECINCT PROPERTIES NEW ZEALAND LIMITED</t>
  </si>
  <si>
    <t>"To support the establishment of a consistent baseline for the property industry in New Zealand, Precinct participated in workshops organised by the New Zealand Green Building Council. These workshops, facilitated by engineering firm Beca, aimed to develop three climate scenarios for the Construction and Property sector."</t>
  </si>
  <si>
    <t>"Precinct participated in workshops organised by the New Zealand Green Building Council (NZGBC). These workshops, facilitated by engineering firm Beca, aimed to develop three climate scenarios for the Construction and Property sector."</t>
  </si>
  <si>
    <t>PROPERTY FOR INDUSTRY LIMITED</t>
  </si>
  <si>
    <t>Along with other key stakeholders within the industry, we are pleased to have been involved in overseeing the development of these sector scenarios as part of the Technical Working Group created by NZGBC in 2022.</t>
  </si>
  <si>
    <t>RADIUS RESIDENTIAL CARE LIMITED</t>
  </si>
  <si>
    <t>"Radius Care was a participant in the health sector working group led by Te Whatu Ora and a collective group of health sector stakeholders within New Zealand who collaborated to develop a specific set of climate change scenarios. The project drew on insights from public agencies, private sector entities, research institutes and academia, with Tonkin + Taylor facilitating the process."</t>
  </si>
  <si>
    <t>Radius Care was a participant in the health sector working group led by Te Whatu Ora and a collective group of health sector stakeholders within New Zealand who collaborated to develop a specific set of climate change scenarios. The project drew on insights from public agencies, private sector entities, research institutes and academia, with Tonkin + Taylor facilitating the process. We then worked with our own external experts through a series of workshops to further develop the company's own scenarios relevant to our organisation.</t>
  </si>
  <si>
    <t>RESTAURANT BRANDS NEW ZEALAND LIMITED</t>
  </si>
  <si>
    <t>Restaurant Brands participated in the 'Retail Sector Shared Scenarios Project' led by KPMG which included several large NZ retail companies. The outcome of this collaborative work was the "Integrated Climate Change Scenarios for New Zealand Retail Sector Report" published by KPMG in September 2023.</t>
  </si>
  <si>
    <t>SCALES CORPORATION LIMITED</t>
  </si>
  <si>
    <t>Management has also attended these courses and represented Scales on the leadership group for the Aotearoa Agri-Adaptation Roadmap which established agri-sector wide climate-related scenarios for New Zealand (see Strategy section below). [...] In 2023, the New Zealand agricultural sector collaborated to produce an Agri-Adaptation Roadmap to guide the sector's adaptation to climate change.</t>
  </si>
  <si>
    <t>SMARTPAY HOLDINGS LIMITED</t>
  </si>
  <si>
    <t>"The retail-sector scenarios were developed as a collaboration between major organisations in the New Zealand retail industry (including Smartpay) and KPMG New Zealand in 2023, with the purpose to support strategic decision-making in retail businesses and those preparing climate-related disclosures in-line with the Aotearoa New Zealand Climate Standards." / "Smartpay chose to analyse the retail-sector scenarios as it had significant involvement in their development as one of the project partners."</t>
  </si>
  <si>
    <t>The retail sector scenarios were developed as a collaboration between major organisations in the New Zealand retail industry (including Smartpay) and KPMG New Zealand in 2023, with the purpose to support strategic decision-making in retail businesses and those preparing climate-related disclosures in-line with the Aotearoa New Zealand Climate Standards. Smartpay chose to utilise the retail sector scenarios as Smartpay had significant involvement in their development as one of the project partners.</t>
  </si>
  <si>
    <t>SOUTHERN CROSS MEDICAL CARE SOCIETY</t>
  </si>
  <si>
    <t>Step 2: Identified key stakeholders to form the Society Working Group to engage with and help develop the climate scenarios and identify climate-related risks to the Society's business strategy. Step 3: Drafted scenarios and met with the Society Working Group. Step 5: Tested and refined climate scenarios through small group interviews, including a meeting with the Society's Chief Medical Officer, and discussions with the Society Working Group. Step 6: Climate scenarios were discussed with and reviewed by the Society Leadership Team and the Society Board.</t>
  </si>
  <si>
    <t>The Society was a participant in the Financial Service Council working group that developed the scenarios and created the report. Our scenarios were created with the help of specialist external advisers (Finity Consulting Pty Ltd), and with input from an internal working group made up of representatives from across the business (Society Working Group). ... Step 2: Identified key stakeholders to form the Society Working Group to engage with and help develop the climate scenarios and identify climate-related risks to the Society's business strategy. Step 3: Drafted scenarios and met with the Society Working Group. Step 5: Tested and refined climate scenarios through small group interviews, including a meeting with the Society's Chief Medical Officer, and discussions with the Society Working Group.</t>
  </si>
  <si>
    <t>SPARK NEW ZEALAND LIMITED</t>
  </si>
  <si>
    <t>Over the past year Spark co-led a sector-wide approach to scenario development. A shared sector approach is recommended by the XRB. The sector scenarios were developed through a series of workshops, facilitated by environmental consultancy Tonkin + Taylor and our industry body The Telecommunications Forum (TCF). ... Throughout the process the sector consulted with the Ministry for the Environment, the Climate Change Commission, and representatives from the energy sector who were integrated into the TCF process. ... The scenarios were designed and agreed in consultation across the sector.</t>
  </si>
  <si>
    <t>"A smaller 'project management' team and wider 'stakeholder group' were established to support and oversee this work... While the wider stakeholder group consisted of 20+ individuals across the nine organisations involved, their role was to bring their sector expertise to this engagement process and provide the inputs for the scenario development. A shortlist of 19 drivers were identified and mapped across each of the three scenarios during two in-person workshops... The scenarios presented here have been developed based on input from the stakeholder representatives from the nine organisations involved in this project... Stakeholders have been provided the opportunity to review and comment on scenarios."</t>
  </si>
  <si>
    <t>STRIDE INVESTMENT MANAGEMENT LIMITED</t>
  </si>
  <si>
    <t>"There were 45 organisations involved in the development of the sector scenarios, including listed property companies, retirement village and aged care operators, property developers and materials suppliers. A number of workshops were held over a period of approximately 9 months, with the draft scenarios being reviewed by the working group as well as interested stakeholders such as major investors." and "Stride was an active participant in the development of the sector scenarios for the construction and property sector, including being involved in both the leadership group and the technical working group."</t>
  </si>
  <si>
    <t>Stride was an active participant in the development of the sector scenarios for the construction and property sector, including being involved in both the leadership group and the technical working group. The sector scenario analysis for the construction and property sector was led by the New Zealand Green Building Council, with involvement from entities across the value chain within the sector. Beca facilitated the development of the scenarios, through workshops involving the technical working group. The scenarios were then approved by the leadership group, on recommendation from the technical working group.</t>
  </si>
  <si>
    <t>SUMMERSET GROUP HOLDINGS LIMITED</t>
  </si>
  <si>
    <t>Summerset was a participant in the Climate Scenarios for the Construction and Property Sector working group led by the New Zealand Green Building Council, with facilitation and climate change and resilience expertise provided by BECA. There were 45 organisations, including at least four retirement village and aged care operators, involved in developing the final scenarios through a series of workshops over nine months.</t>
  </si>
  <si>
    <t>"Throughout 2023, and early 2024, Summerset participated in both the construction and property sector, and the health sector scenario creation processes." / "Steps 1 and 2: Engage sector stakeholders and set focal questions, scope and timeframe for the scenario development process." / "Throughout the scneario analysis process Summerset's Climate Working Group acted as the key mechanism for consulation, feedback and considerations. Supplementary to this was the additional inclusion of Summerset's Sustainability Forum as a key stakeholder from mid-2024 moving forward for all climate-related disclosures work programme deliverables." / "Summerset was a contributing member to the creation of these scenarios [Health Sector scenarios]."</t>
  </si>
  <si>
    <t>SYNLAIT MILK LIMITED</t>
  </si>
  <si>
    <t>"Synlait engaged Deloitte to assist with the risk assessment scenario analysis... we worked with Deloitte to identify and engage subject matter experts who are best positioned to provide insight and commentary on climate risks and opportunities... An SME group was established to ensure inputs and outputs of the risk assessment process were relevant and usable for Synlait. This included representation from all areas of the organisation at various levels of seniority. Driving forces: Synlait's subject matter experts agreed the key driving forces of change that were used to help develop the scenarios."</t>
  </si>
  <si>
    <t>T&amp;G GLOBAL LIMITED</t>
  </si>
  <si>
    <t>Over 30 T&amp;G team members from across our global value chain, together with a representative from The New Zealand Institute for Plant &amp; Food Research, were brought together to form a working group. ... In developing its sector scenarios, The Aotearoa Circle brought together the diversity of the agriculture sector to collaborate, share knowledge, science and insights, and inform the outcome. T&amp;G participated as a member of the Technical Expert Group.</t>
  </si>
  <si>
    <t>Sector scenarios were developed by The Aotearoa Circle in 2022 and 2023 by bringing together the diversity of the agriculture sector to collaborate, share knowledge, science and insights, and inform the outcome. T&amp;G participated as a member of the Technical Expert Group.</t>
  </si>
  <si>
    <t>THE CO-OPERATIVE BANK LIMITED</t>
  </si>
  <si>
    <t>"The Co-operative along with other members of the New Zealand Banking Association (NZBA), participated in the development of a common set of climate scenario narratives for the New Zealand banking sector." And: "In 2022 and 2023 we participated in the sectoral working group involved with developing climate scenarios for the banking sector facilitated by the New Zealand Banking Association (NZBA)."</t>
  </si>
  <si>
    <t>THE WAREHOUSE GROUP LIMITED</t>
  </si>
  <si>
    <t>In 2023, The Warehouse Group engaged with other New Zealand retailers that are climate reporting entities and KPMG New Zealand to develop shared scenarios for the New Zealand retail sector ("Retail Sector Scenarios"). These scenarios are detailed in a published report entitled "The Futures of Retail". [...] We would like to thank and acknowledge our New Zealand retail peers for their participation in the New Zealand retail sector's scenario-setting process in 2023 which formed the start of this journey.</t>
  </si>
  <si>
    <t>TOURISM HOLDINGS LIMITED</t>
  </si>
  <si>
    <t>"thl contributed to the development of the Aotearoa Circle Transport Sector Climate Scenarios and the Tourism Sector Climate Change Scenarios [...] thl management were part of the leadership group that guided, reviewed, and provided feedback for the recently released Aotearoa Circle Tourism and Transport Sector Climate Scenarios respectively. [...] External partner Aotearoa Circle developed the Tourism and Transport Sector Climate Scenarios used by thl, with the involvement of thl and other public and private-sector partners."</t>
  </si>
  <si>
    <t>"The Aotearoa Circle's transport and tourism sector climate change scenarios, which thl contributed to the development of, were also considered in thl's scenario analysis..."</t>
  </si>
  <si>
    <t>TOWER LIMITED</t>
  </si>
  <si>
    <t>"Tower's climate scenarios are based on the Insurance Council of New Zealand's (ICNZ) shared climate scenarios for the insurance sector. In 2022, Tower participated in a New Zealand insurance industry initiative to co-design these industry scenarios."</t>
  </si>
  <si>
    <t>WINTON LAND LIMITED</t>
  </si>
  <si>
    <t>The New Zealand Green Building Council (NZGBC) published scenarios for the property and construction sector in 2023 that were developed by Beca Limited (Beca) in consultation with the Technical Working group created by NZGBC in 2022. The Technical Working Group included business leaders and key stakeholders within the industry of which Winton was added near the end of the process.</t>
  </si>
  <si>
    <t>participation_type</t>
  </si>
  <si>
    <t>Column</t>
  </si>
  <si>
    <t>Internal + external stakeholder participation</t>
  </si>
  <si>
    <t>Sector-level collaborative development</t>
  </si>
  <si>
    <t>Sector + internal participation</t>
  </si>
  <si>
    <t>Internal cross-functional participation</t>
  </si>
  <si>
    <t>External/multi-stakeholder participation</t>
  </si>
  <si>
    <t>Other/unclear collaborative participation</t>
  </si>
  <si>
    <t>Internal-only participatory development</t>
  </si>
  <si>
    <t>Strong co-design/co-production</t>
  </si>
  <si>
    <t>Limited/consultative</t>
  </si>
  <si>
    <t>Participatory/collaborative</t>
  </si>
  <si>
    <t>Category</t>
  </si>
  <si>
    <t>Row Labels</t>
  </si>
  <si>
    <t>Grand Total</t>
  </si>
  <si>
    <t>Count of company_name</t>
  </si>
  <si>
    <t>AA INSURANCE LIMITED2025</t>
  </si>
  <si>
    <t>MERCURY NZ LIMITED2025</t>
  </si>
  <si>
    <t>FMG INSURANCE LIMITED2025</t>
  </si>
  <si>
    <t>EROAD LIMITED2025</t>
  </si>
  <si>
    <t>Details for Count of company_name - Category: Internal + external stakeholder participation</t>
  </si>
  <si>
    <t>TOWER LIMITED2024</t>
  </si>
  <si>
    <t>THE WAREHOUSE GROUP LIMITED2024</t>
  </si>
  <si>
    <t>SUMMERSET GROUP HOLDINGS LIMITED2023</t>
  </si>
  <si>
    <t>AIA NEW ZEALAND LIMITED2023</t>
  </si>
  <si>
    <t>AIG INSURANCE NEW ZEALAND LIMITED2024</t>
  </si>
  <si>
    <t>SOUTHERN CROSS MEDICAL CARE SOCIETY2024</t>
  </si>
  <si>
    <t>OCEANIA HEALTHCARE LIMITED2025</t>
  </si>
  <si>
    <t>OCEANIA HEALTHCARE LIMITED2024</t>
  </si>
  <si>
    <t>ARVIDA GROUP LIMITED2025</t>
  </si>
  <si>
    <t>METLIFECARE LIMITED2025</t>
  </si>
  <si>
    <t>METLIFECARE LIMITED2024</t>
  </si>
  <si>
    <t>IAG NEW ZEALAND LIMITED2025</t>
  </si>
  <si>
    <t>BANK OF NEW ZEALAND2024</t>
  </si>
  <si>
    <t>HALLENSTEIN GLASSON HOLDINGS LIMITED2024</t>
  </si>
  <si>
    <t>CONTACT ENERGY LIMITED2025</t>
  </si>
  <si>
    <t>CONTACT ENERGY LIMITED2024</t>
  </si>
  <si>
    <t>Details for Count of company_name - Category: Sector + internal participation</t>
  </si>
  <si>
    <t>SPARK NEW ZEALAND LIMITED2025</t>
  </si>
  <si>
    <t>PARTNERS LIFE LIMITED2024</t>
  </si>
  <si>
    <t>COMVITA LIMITED2025</t>
  </si>
  <si>
    <t>CHORUS LIMITED2025</t>
  </si>
  <si>
    <t>CHORUS LIMITED2024</t>
  </si>
  <si>
    <t>CDL INVESTMENTS NEW ZEALAND LIMITED2024</t>
  </si>
  <si>
    <t>AUCKLAND COUNCIL2025</t>
  </si>
  <si>
    <t>Details for Count of company_name - Category: Other/unclear collaborative participation</t>
  </si>
  <si>
    <t>PORT OF TAURANGA LIMITED2025</t>
  </si>
  <si>
    <t>PORT OF TAURANGA LIMITED2024</t>
  </si>
  <si>
    <t>NIB NZ LIMITED2024</t>
  </si>
  <si>
    <t>MERCURY NZ LIMITED2024</t>
  </si>
  <si>
    <t>LIVESTOCK IMPROVEMENT CORPORATION LIMITED2025</t>
  </si>
  <si>
    <t>EROAD LIMITED2024</t>
  </si>
  <si>
    <t>Details for Count of company_name - Category: External/multi-stakeholder participation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</si>
</sst>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yen Nguyen" refreshedDate="46300.689507291667" createdVersion="8" refreshedVersion="8" minRefreshableVersion="3" recordCount="88" xr:uid="{17A82946-5C93-47AF-B478-23B4C386E35C}">
  <cacheSource type="worksheet">
    <worksheetSource ref="A1:H89" sheet="Table_Q6_coproduced_yes_evidenc"/>
  </cacheSource>
  <cacheFields count="8">
    <cacheField name="Column" numFmtId="0">
      <sharedItems/>
    </cacheField>
    <cacheField name="company_name" numFmtId="0">
      <sharedItems/>
    </cacheField>
    <cacheField name="period_year" numFmtId="0">
      <sharedItems containsSemiMixedTypes="0" containsString="0" containsNumber="1" containsInteger="1" minValue="2023" maxValue="2025"/>
    </cacheField>
    <cacheField name="Q14_answer" numFmtId="0">
      <sharedItems/>
    </cacheField>
    <cacheField name="Q14_confidence" numFmtId="0">
      <sharedItems/>
    </cacheField>
    <cacheField name="Q14_evidence" numFmtId="0">
      <sharedItems longText="1"/>
    </cacheField>
    <cacheField name="Category" numFmtId="0">
      <sharedItems count="6">
        <s v="Internal + external stakeholder participation"/>
        <s v="Sector-level collaborative development"/>
        <s v="Sector + internal participation"/>
        <s v="Other/unclear collaborative participation"/>
        <s v="Internal-only participatory development"/>
        <s v="External/multi-stakeholder participation"/>
      </sharedItems>
    </cacheField>
    <cacheField name="participation_type" numFmtId="0">
      <sharedItems containsBlank="1" count="7">
        <s v="Strong co-design/co-production"/>
        <s v="Limited/consultative"/>
        <m/>
        <s v="Sector + internal participation"/>
        <s v="Internal cross-functional participation"/>
        <s v="Participatory/collaborative"/>
        <e v="#N/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s v="AA INSURANCE LIMITED2025"/>
    <s v="AA INSURANCE LIMITED"/>
    <n v="2025"/>
    <s v="Yes"/>
    <s v="medium"/>
    <s v="These were further developed through a workshop held in November 2024 with a variety of business units including Claims, Pricing, Underwriting, Product, Corporate Affairs, Sustainability and Risk, to ensure the scenarios were relevant and appropriate for our business. The group identified key uncertainties and drivers of change including EV trends, reinsurance and government action, which were integrated into the scenario narratives."/>
    <x v="0"/>
    <x v="0"/>
  </r>
  <r>
    <s v="AFT PHARMACEUTICALS LIMITED2024"/>
    <s v="AFT PHARMACEUTICALS LIMITED"/>
    <n v="2024"/>
    <s v="Yes"/>
    <s v="high"/>
    <s v="In collaboration with Tonkin &amp; Taylor, AFT contributed to the Technical Working Group supporting the development of the healthcare sector-level climate scenarios. The approach to developing the scenarios was based on guidance from the Taskforce for Climate Related Financial Disclosures (TCFD) and the New Zealand External Reporting Board (XRB). Six steps were undertaken, as shown in Figure 5, with a series of workshops being held with the TWG as the project progressed."/>
    <x v="1"/>
    <x v="0"/>
  </r>
  <r>
    <s v="AFT PHARMACEUTICALS LIMITED2025"/>
    <s v="AFT PHARMACEUTICALS LIMITED"/>
    <n v="2025"/>
    <s v="Yes"/>
    <s v="high"/>
    <s v="In collaboration with Tonkin &amp; Taylor and other climate reporting entities in the healthcare sector, AFT contributed to the Technical Working Group (TWG) supporting the development of the health sector-level climate change scenarios in 2023 - 2024. Six steps were undertaken, with a series of workshops being held with the TWG as the project progressed."/>
    <x v="1"/>
    <x v="0"/>
  </r>
  <r>
    <s v="AIA NEW ZEALAND LIMITED2023"/>
    <s v="AIA NEW ZEALAND LIMITED"/>
    <n v="2023"/>
    <s v="Yes"/>
    <s v="medium"/>
    <s v="AIA NZ participated in the FSC working group that developed industry scenarios for life and health insurers and fund managers. ... Workshops were held with subject matter experts across the business to answer the focal question &quot;How is AIA NZ impacted under different climate scenarios?&quot;. The full value chain of our operations was considered including impacts on distribution and suppliers. The risks and opportunities generated during these workshops were collated into themes by the CRD working group."/>
    <x v="2"/>
    <x v="0"/>
  </r>
  <r>
    <s v="AIG INSURANCE NEW ZEALAND LIMITED2024"/>
    <s v="AIG INSURANCE NEW ZEALAND LIMITED"/>
    <n v="2024"/>
    <s v="Yes"/>
    <s v="high"/>
    <s v="&quot;AIG New Zealand participated in this initiative during 2022 to co-design and collaboratively develop these scenarios along with other industry members... In 2023, AIG New Zealand engaged a third-party to help facilitate the scenario development and analysis process with a cross functional working group of AIG New Zealand management and business representatives, and through a series of workshops...&quot;"/>
    <x v="2"/>
    <x v="0"/>
  </r>
  <r>
    <s v="ARGOSY PROPERTY LIMITED2024"/>
    <s v="ARGOSY PROPERTY LIMITED"/>
    <n v="2024"/>
    <s v="Yes"/>
    <s v="medium"/>
    <s v="&quot;Our scenario analysis is based on the Climate Scenarios for the Construction and Property Sector NgÄ Horopaki Ä€huarangi mÅ te RÄngai Hanganga me ngÄ Whare, developed by Beca Limited for the New Zealand Green Building Council. Argosy along with industry peers contributed to the development of these scenarios.&quot;"/>
    <x v="1"/>
    <x v="1"/>
  </r>
  <r>
    <s v="ARGOSY PROPERTY LIMITED2025"/>
    <s v="ARGOSY PROPERTY LIMITED"/>
    <n v="2025"/>
    <s v="Yes"/>
    <s v="medium"/>
    <s v="Argosy, along with industry peers, contributed to the development of these scenarios."/>
    <x v="1"/>
    <x v="0"/>
  </r>
  <r>
    <s v="ARVIDA GROUP LIMITED2024"/>
    <s v="ARVIDA GROUP LIMITED"/>
    <n v="2024"/>
    <s v="Yes"/>
    <s v="high"/>
    <s v="&quot;the Company jointly led a project, with Te Whatu Ora and around 30 other health sector participants, to develop a set of sector scenarios with consultants Tonkin + Taylor. The Company's Head of Sustainability &amp; Compliance was the Chair of the Technical Working Group and the Company's GM Strategy was part of the leadership group. Through a series of workshops, the group developed three sector scenarios.&quot;"/>
    <x v="1"/>
    <x v="0"/>
  </r>
  <r>
    <s v="ARVIDA GROUP LIMITED2025"/>
    <s v="ARVIDA GROUP LIMITED"/>
    <n v="2025"/>
    <s v="Yes"/>
    <s v="medium"/>
    <s v="&quot;These were informed by: â€¢ Climate Change Scenarios for the Health Sector (available at esr.cri.nz) â€¢ Climate Scenarios for the Construction and Property Sector (available at nzgbc.org.nz), both of which Arvida senior executive and Leadership Team members were involved in developing.&quot;"/>
    <x v="2"/>
    <x v="0"/>
  </r>
  <r>
    <s v="ASTERON LIFE LIMITED2024"/>
    <s v="ASTERON LIFE LIMITED"/>
    <n v="2024"/>
    <s v="Yes"/>
    <s v="medium"/>
    <s v="As a member of the Financial Services Council (FSC), we were part of a working group in FY23 that developed climate scenarios for the life insurance sector. ... participated in a Financial Services Council working group to develop climate change scenarios for our industry (FY22)"/>
    <x v="1"/>
    <x v="0"/>
  </r>
  <r>
    <s v="ASTERON LIFE LIMITED2025"/>
    <s v="ASTERON LIFE LIMITED"/>
    <n v="2025"/>
    <s v="Yes"/>
    <s v="medium"/>
    <s v="As a member of the Financial Services Council (FSC), we were part of a working group in FY23 that developed climate scenarios for the life insurance sector."/>
    <x v="1"/>
    <x v="0"/>
  </r>
  <r>
    <s v="AUCKLAND COUNCIL2025"/>
    <s v="AUCKLAND COUNCIL"/>
    <n v="2025"/>
    <s v="Yes"/>
    <s v="medium"/>
    <s v="We worked with a range of stakeholders during the scenario development and analysis process including Earth Sciences New Zealand, Auckland Council group staff from areas such as sustainability, finance, infrastructure strategy, risk and MÄori outcomes. We held workshops and walkthrough sessions to share the refreshed scenarios and make sure we got a wide mix of ideas and perspectives."/>
    <x v="3"/>
    <x v="0"/>
  </r>
  <r>
    <s v="BANK OF NEW ZEALAND2024"/>
    <s v="BANK OF NEW ZEALAND"/>
    <n v="2024"/>
    <s v="Yes"/>
    <s v="medium"/>
    <s v="&quot;The development of the three scenario narratives was led by Sector Working Groups, consisting of colleagues from across the bank representing core BNZ functions, sector experts, and functional representatives from strategy, finance, risk, analytics, and sustainability.&quot; ... &quot;BNZ adopted the six process steps detailed in the XRB's 2023 Staff Guidance Entity Scenario Development.&quot; Step 1: &quot;Engage stakeholders and prime an effective group&quot; ... &quot;Strategic resilience was then assessed in two steps: 1. A working group workshop to identify likely responses to the scenarios and associated impacts on BNZ's lending to key sectors; and 2. Two executive level workshops to assess the implications of each scenario for the BNZ business model.&quot;"/>
    <x v="2"/>
    <x v="1"/>
  </r>
  <r>
    <s v="BRISCOE GROUP LIMITED2024"/>
    <s v="BRISCOE GROUP LIMITED"/>
    <n v="2024"/>
    <s v="Yes"/>
    <s v="high"/>
    <s v="In the first half of the year, we collaborated with other retail industry participants to co-design a set of integrated climate change scenarios for New Zealand's retail sector."/>
    <x v="1"/>
    <x v="0"/>
  </r>
  <r>
    <s v="BRISCOE GROUP LIMITED2025"/>
    <s v="BRISCOE GROUP LIMITED"/>
    <n v="2025"/>
    <s v="Yes"/>
    <s v="high"/>
    <s v="In 2023, we collaborated with other New Zealand retailers that are climate reporting entities and KPMG New Zealand to co-design a set of integrated climate change scenarios for New Zealand's retail sector."/>
    <x v="1"/>
    <x v="0"/>
  </r>
  <r>
    <s v="CDL INVESTMENTS NEW ZEALAND LIMITED2024"/>
    <s v="CDL INVESTMENTS NEW ZEALAND LIMITED"/>
    <n v="2024"/>
    <s v="Yes"/>
    <s v="medium"/>
    <s v="&quot;Through workshops held with WSP and a survey sent to CDI participants, these risks and opportunities were reviewed, refined and prioritised against climate scenarios, risk rating criteria and relevant time horizons developed between CDI and WSP based on relevance to CDI operations.&quot;"/>
    <x v="3"/>
    <x v="0"/>
  </r>
  <r>
    <s v="CHINA CONSTRUCTION BANK (NEW ZEALAND) LIMITED2024"/>
    <s v="CHINA CONSTRUCTION BANK (NEW ZEALAND) LIMITED"/>
    <n v="2024"/>
    <s v="Yes"/>
    <s v="medium"/>
    <s v="CCB NZL has utilised the common sets of NZBA-commissioned banking sectorial narratives, developed alongside its banking peers with EY in 2023, as the basis of its scenario analysis. [...] A high-level set of climate-related risks that banks should consider as part of their risk assessment with risks identified based on input from project stakeholders."/>
    <x v="1"/>
    <x v="2"/>
  </r>
  <r>
    <s v="CHORUS LIMITED2024"/>
    <s v="CHORUS LIMITED"/>
    <n v="2024"/>
    <s v="Yes"/>
    <s v="high"/>
    <s v="&quot;In June 2023, the Telecommunications Forum (TCF) established a Climate Change Working Group. This development saw members of the New Zealand telecommunications sector come together to better understand the potential climate scenarios that we could face as a sector. Chorus' Head of Sustainability, Sustainability Team and Chorus' Principal Solution Architect, who is responsible for drafting Chorus' resiliency strategy, attended two full day workshops to bring their sector expertise to this engagement process and provide the inputs for the scenario development. The Head of Sustainability joined a smaller project management team and wider stakeholder group to support and oversee the work.&quot;"/>
    <x v="3"/>
    <x v="3"/>
  </r>
  <r>
    <s v="CHORUS LIMITED2025"/>
    <s v="CHORUS LIMITED"/>
    <n v="2025"/>
    <s v="Yes"/>
    <s v="medium"/>
    <s v="Chorus' Head of Sustainability formed part of a project management team and wider stakeholder group to support and oversee the work. Management and ARMC provided oversight of the development of the climate scenarios and scenario analysis process, including having an opportunity to provide feedback on the draft scenarios prior to finalisation of the report."/>
    <x v="3"/>
    <x v="4"/>
  </r>
  <r>
    <s v="CHRISTCHURCH INTERNATIONAL AIRPORT LIMITED2024"/>
    <s v="CHRISTCHURCH INTERNATIONAL AIRPORT LIMITED"/>
    <n v="2024"/>
    <s v="Yes"/>
    <s v="medium"/>
    <s v="To develop and analyse the scenarios, a team of subject matter experts from across the business participated in a workshop session, facilitated by Deloitte, and followed the process outlined in the table opposite. [...] Participants agreed the focal question [...] CIAL's view of the key driving forces was determined, with participants choosing from a long list [...] Participants worked in groups to formulate the driving forces' narratives under each scenario and time horizon [...] The results of this session were consolidated into the scenario narratives as provided below, which were reviewed, challenged, and endorsed by the ELT and Board."/>
    <x v="4"/>
    <x v="2"/>
  </r>
  <r>
    <s v="CHRISTCHURCH INTERNATIONAL AIRPORT LIMITED2025"/>
    <s v="CHRISTCHURCH INTERNATIONAL AIRPORT LIMITED"/>
    <n v="2025"/>
    <s v="Yes"/>
    <s v="medium"/>
    <s v="&quot;To develop the scenarios, a team of subject matter experts from across the business participated in a workshop session, facilitated by Deloitte, and followed the process outlined in the table opposite.&quot; And: &quot;In the FY25 Scenario refresh session, the group reconsidered the focal question. Participants agreed to reframe the focal question... CIAL's view of the key driving forces was determined, with participants choosing from a long list drawn from various sector scenarios... The key driving forces were ranked on an influence / certainty matrix... Participants worked in groups to formulate the driving forces' narratives under each scenario and time horizon... The results of this session were consolidated into the scenario narratives as provided below, which were reviewed, challenged, and endorsed by the ELT and Board.&quot;"/>
    <x v="4"/>
    <x v="2"/>
  </r>
  <r>
    <s v="CHUBB LIFE INSURANCE NEW ZEALAND LIMITED2023"/>
    <s v="CHUBB LIFE INSURANCE NEW ZEALAND LIMITED"/>
    <n v="2023"/>
    <s v="Yes"/>
    <s v="high"/>
    <s v="Chubb Life was a member of the FSC's Climate Working Group, which was involved in the development of the climate scenario narratives for the financial services sector. The process to determine the scenario narratives followed five stages: 1. Engagement of stakeholders, including the establishment of the working group and the Steering Committee. [...] 4. Selected the scenarios and identified risks, opportunities and their pathways. Work was undertaken with the members to identify the key climate-related risks, and the impacts of these risks under different scenarios."/>
    <x v="1"/>
    <x v="0"/>
  </r>
  <r>
    <s v="CHUBB LIFE INSURANCE NEW ZEALAND LIMITED2024"/>
    <s v="CHUBB LIFE INSURANCE NEW ZEALAND LIMITED"/>
    <n v="2024"/>
    <s v="Yes"/>
    <s v="high"/>
    <s v="The process to determine the scenario narratives followed five stages: 1. Engagement of stakeholders, including the establishment of the working group and the Steering Committee; 2. Setting the focal question, which included determining the time horizons and key categories of climate-related risk; 3. Identifying driving forces, utilizing STEEP analysis... 4. Selected the scenarios and identified risks, opportunities and their pathways. Work was undertaken with the members to identify the key climate-related risks, and the impacts of these risks under different scenarios; and 5. Draft and revising the narratives."/>
    <x v="1"/>
    <x v="0"/>
  </r>
  <r>
    <s v="COMVITA LIMITED2024"/>
    <s v="COMVITA LIMITED"/>
    <n v="2024"/>
    <s v="Yes"/>
    <s v="medium"/>
    <s v="We utilised the Ag Sector Scenarios temperature outcomes and pathways developed given the nature of our value chain and because Comvita was involved in the working group responsible for this scenario development."/>
    <x v="1"/>
    <x v="0"/>
  </r>
  <r>
    <s v="COMVITA LIMITED2025"/>
    <s v="COMVITA LIMITED"/>
    <n v="2025"/>
    <s v="Yes"/>
    <s v="medium"/>
    <s v="The NZ Agriculture Sector Climate Change Scenarios were used as a starting point given the nature of our business and Comvita's participation in the working group responsible for their development."/>
    <x v="3"/>
    <x v="0"/>
  </r>
  <r>
    <s v="CONTACT ENERGY LIMITED2024"/>
    <s v="CONTACT ENERGY LIMITED"/>
    <n v="2024"/>
    <s v="Yes"/>
    <s v="medium"/>
    <s v="Our three chosen climate scenarios were developed following engagement with stakeholders across the business and the energy sector, using our focal question and the STEEP framework analysis [...] with our involvement the Energy Sector Climate Scenarios for the Aotearoa Circle in FY24, we have taken the opportunity to refresh our climate scenario analysis. Consultants PwC facilitated this refresh process."/>
    <x v="2"/>
    <x v="0"/>
  </r>
  <r>
    <s v="CONTACT ENERGY LIMITED2025"/>
    <s v="CONTACT ENERGY LIMITED"/>
    <n v="2025"/>
    <s v="Yes"/>
    <s v="medium"/>
    <s v="Our three chosen climate scenarios were developed following engagement with stakeholders across our business and the energy sector, using our focal question and the STEEP framework analysis. [...] with the introduction of Climate-related Disclosures and our involvement the Energy Sector Climate Scenarios for the Aotearoa Circle in FY24, we took the opportunity to refresh our climate scenario analysis with the support of consultants PwC."/>
    <x v="2"/>
    <x v="0"/>
  </r>
  <r>
    <s v="EROAD LIMITED2024"/>
    <s v="EROAD LIMITED"/>
    <n v="2024"/>
    <s v="Yes"/>
    <s v="medium"/>
    <s v="&quot;During October 2023 to March 2024 EROAD's climate risk and scenario analysis activities included a series of workshops with and continuous feedback from key stakeholders and representatives from across EROAD's value chain and its business segments.&quot; and &quot;external advisors from PwC NZ worked with representatives from EROAD's Sustainability Committee and across EROAD's value chain to plan and facilitate workshops and data insights enabling analysis and then development of three climate-related scenarios&quot;"/>
    <x v="5"/>
    <x v="0"/>
  </r>
  <r>
    <s v="EROAD LIMITED2025"/>
    <s v="EROAD LIMITED"/>
    <n v="2025"/>
    <s v="Yes"/>
    <s v="medium"/>
    <s v="&quot;EROAD's climate scenario analysis in FY24 was supported by PwC NZ and involved cross-functional participation from across the business and value chain. Between October 2023 and March 2024, the scenario development process included a series of workshops and continuous feedback with key internal stakeholders, including representatives from inbound logistics, product development, operations and manufacturing (including supply chain), sales, marketing, finance, legal, and People &amp; Capability.&quot;"/>
    <x v="0"/>
    <x v="0"/>
  </r>
  <r>
    <s v="FIDELITY LIFE ASSURANCE COMPANY LIMITED2024"/>
    <s v="FIDELITY LIFE ASSURANCE COMPANY LIMITED"/>
    <n v="2024"/>
    <s v="Yes"/>
    <s v="medium"/>
    <s v="&quot;During 2022 and 2023, Fidelity Life participated in the development of sector scenario narratives for the life and health insurance and funds management sectors. With the support of EY, this work was led by the Financial Services Council (FSC), an industry association that represents the New Zealand life and health insurance and funds management sectors.&quot; Additionally, the FSC scenarios were developed based on &quot;FSC literature review and stakeholder engagement.&quot;"/>
    <x v="1"/>
    <x v="0"/>
  </r>
  <r>
    <s v="FLETCHER BUILDING LIMITED2024"/>
    <s v="FLETCHER BUILDING LIMITED"/>
    <n v="2024"/>
    <s v="Yes"/>
    <s v="high"/>
    <s v="&quot;The NZGBC scenarios were developed with participation from a range of industry and other stakeholders, including building portfolio owners and managers, property developers, construction companies, building product manufacturers, building design consultancies, representatives from the insurance and banking sectors, and public sector entities. Fletcher Building participated in the development of the NZGBC scenarios, with representatives on both the Leadership Group and Technical Working Group during development of the scenarios.&quot;"/>
    <x v="1"/>
    <x v="5"/>
  </r>
  <r>
    <s v="FLETCHER BUILDING LIMITED2025"/>
    <s v="FLETCHER BUILDING LIMITED"/>
    <n v="2025"/>
    <s v="Yes"/>
    <s v="high"/>
    <s v="&quot;In FY24, Fletcher Building assessed three climate scenarios based on the New Zealand Green Building Council (NZGBC) 'Climate Scenarios for the Construction and Property Sector'. These were developed with participation from a wide range of industry and public sector stakeholders, and Fletcher Building contributed through representation on the NZGBC Leadership Group and Technical Working Group.&quot;"/>
    <x v="1"/>
    <x v="0"/>
  </r>
  <r>
    <s v="FMG INSURANCE LIMITED2024"/>
    <s v="FMG INSURANCE LIMITED"/>
    <n v="2024"/>
    <s v="Yes"/>
    <s v="medium"/>
    <s v="In September 2023, a wider group was brought in to assist in the creation of the scenario narratives. FMG hosted two Scenario Immersion Workshops to downscale the sector-level scenarios. Workshop attendees were first immersed in the ICNZ sector scenarios to develop a common understanding of the scenarios. The attendees then reviewed the drivers of change (or 'drivers') included in the ICNZ sector scenarios for their relevance to FMG... In October 2023, FMG hosted two impacts and implications workshops. The purpose of these workshops was to interrogate FMG's risks and opportunities under each scenario."/>
    <x v="1"/>
    <x v="0"/>
  </r>
  <r>
    <s v="FMG INSURANCE LIMITED2025"/>
    <s v="FMG INSURANCE LIMITED"/>
    <n v="2025"/>
    <s v="Yes"/>
    <s v="medium"/>
    <s v="&quot;FMG's approach to developing its Climate-related risks and opportunities, in addition to preparing its disclosures, was intentionally inclusive, involving employees across a range of tenure, seniority, experience, and business functions.&quot; / &quot;A wide group of stakeholders from across the business were brought together for these workshops. Participants identified risks and opportunities for each scenario across three discreet timeframes and assessed the impacts across FMG's business model and strategy.&quot; / &quot;FMG hosted two Scenario Immersion Workshops to downscale the sector-level scenarios.&quot;"/>
    <x v="0"/>
    <x v="0"/>
  </r>
  <r>
    <s v="FOLEY WINES LIMITED2024"/>
    <s v="FOLEY WINES LIMITED"/>
    <n v="2024"/>
    <s v="Yes"/>
    <s v="medium"/>
    <s v="In developing its sector scenarios, The Aotearoa Circle brought together the diversity of the agriculture sector to collaborate, share knowledge, science and insights, and inform the outcome."/>
    <x v="1"/>
    <x v="5"/>
  </r>
  <r>
    <s v="FREIGHTWAYS GROUP LIMITED2024"/>
    <s v="FREIGHTWAYS GROUP LIMITED"/>
    <n v="2024"/>
    <s v="Yes"/>
    <s v="medium"/>
    <s v="Key personnel and stakeholders in management positions including members of our ELT, sustainability and finance teams were brought together by Tadpole to be involved in the assessment of defining key outputs, roles, and responsibilities of the analysis process. ... Freightways has been working collaboratively with other transport sector organisations to undertake transport sector-level scenario analysis with the assistance of The Aotearoa Circle."/>
    <x v="1"/>
    <x v="0"/>
  </r>
  <r>
    <s v="FREIGHTWAYS GROUP LIMITED2025"/>
    <s v="FREIGHTWAYS GROUP LIMITED"/>
    <n v="2025"/>
    <s v="Yes"/>
    <s v="medium"/>
    <s v="&quot;Alongside the scenario development, Freightways participated in The Aotearoa Circle Transport Sector Climate Change Scenarios ('Transport Sector Scenarios'). As these workstreams occurred in parallel, the Freightways scenarios are modelled on and influenced by the Transport Sector Scenarios but are tailored to the Freightways business and its operation.&quot;"/>
    <x v="1"/>
    <x v="0"/>
  </r>
  <r>
    <s v="HALLENSTEIN GLASSON HOLDINGS LIMITED2024"/>
    <s v="HALLENSTEIN GLASSON HOLDINGS LIMITED"/>
    <n v="2024"/>
    <s v="Yes"/>
    <s v="medium"/>
    <s v="The scenario planning process outlined above has had the full backing and participation of the Executive team. The Sustainability Committee and Board of Directors had oversight of the process with regular updates. Participation in the retail sector scenario analysis in 2023 provided access to expertise within KPMG. HGH also engaged the external sustainability consulting firm, Tadpole Consulting Limited, to support and facilitate the creation of our climate-related disclosures, including the development and delivery of the scenario analysis process, in line with XRB guidelines."/>
    <x v="2"/>
    <x v="1"/>
  </r>
  <r>
    <s v="IAG NEW ZEALAND LIMITED2024"/>
    <s v="IAG NEW ZEALAND LIMITED"/>
    <n v="2024"/>
    <s v="Yes"/>
    <s v="medium"/>
    <s v="IAG New Zealand was involved in creating the Insurance Council of New Zealand | Te KÄhui Inihua o Aotearoa insurance sector climate scenarios (ICNZ scenarios). Those scenarios have been used as a basis for the development of our own entity-level scenarios."/>
    <x v="1"/>
    <x v="0"/>
  </r>
  <r>
    <s v="IAG NEW ZEALAND LIMITED2025"/>
    <s v="IAG NEW ZEALAND LIMITED"/>
    <n v="2025"/>
    <s v="Yes"/>
    <s v="medium"/>
    <s v="&quot;IAG New Zealand was involved in creating the Insurance Council of New Zealand | Te KÄhui Inihua o Aotearoa insurance sector climate scenarios (ICNZ scenarios) in FY22 and those scenarios continue to be used as a basis for our own entity-level scenarios.&quot; | &quot;The refresh was informed by IAG New Zealand's transition planning process, alongside engagement with IAG Group on the development of Group-wide scenario narratives, as well as by retesting the scenarios with the Climate Working Group.&quot;"/>
    <x v="2"/>
    <x v="0"/>
  </r>
  <r>
    <s v="INVESTORE PROPERTY LIMITED2024"/>
    <s v="INVESTORE PROPERTY LIMITED"/>
    <n v="2024"/>
    <s v="Yes"/>
    <s v="high"/>
    <s v="&quot;There were 45 organisations involved in the development of the sector scenarios, including listed property companies, retirement village and aged care operators, property developers and materials suppliers. A number of workshops were held over a period of approximately 9 months, with the draft scenarios being reviewed by the working group as well as interested stakeholders such as major investors.&quot;"/>
    <x v="1"/>
    <x v="0"/>
  </r>
  <r>
    <s v="INVESTORE PROPERTY LIMITED2025"/>
    <s v="INVESTORE PROPERTY LIMITED"/>
    <n v="2025"/>
    <s v="Yes"/>
    <s v="high"/>
    <s v="The sector scenario analysis for the construction and property sector was led by the New Zealand Green Building Council, with involvement from entities across the value chain within the sector. Beca facilitated the development of the scenarios, which were developed through workshops involving the technical working group. The scenarios were then approved by the leadership group, on recommendation from the technical working group. Investore's manager, SIML, was an active participant in the development of the sector scenarios for the construction and property sector, including being involved in both the leadership group and the technical working group."/>
    <x v="1"/>
    <x v="0"/>
  </r>
  <r>
    <s v="KIWI PROPERTY GROUP LIMITED2024"/>
    <s v="KIWI PROPERTY GROUP LIMITED"/>
    <n v="2024"/>
    <s v="Yes"/>
    <s v="high"/>
    <s v="Together with other industry participants, we participated in the development of climate scenarios for the construction and property sector through a technical working group established in 2022 by the New Zealand Green Building Council (NZBGC). BECA facilitated and provided technical expertise to the working group."/>
    <x v="1"/>
    <x v="0"/>
  </r>
  <r>
    <s v="KIWI PROPERTY GROUP LIMITED2025"/>
    <s v="KIWI PROPERTY GROUP LIMITED"/>
    <n v="2025"/>
    <s v="Yes"/>
    <s v="high"/>
    <s v="&quot;Together with other industry participants, we participated in the development of climate scenarios for the construction and property sector through a technical working group established in 2022 by the New Zealand Green Building Council (NZGBC). Beca facilitated and provided technical expertise to the working group.&quot;"/>
    <x v="1"/>
    <x v="0"/>
  </r>
  <r>
    <s v="LIVESTOCK IMPROVEMENT CORPORATION LIMITED2025"/>
    <s v="LIVESTOCK IMPROVEMENT CORPORATION LIMITED"/>
    <n v="2025"/>
    <s v="Yes"/>
    <s v="high"/>
    <s v="In the current reporting period we collaborated with Fonterra and Silver Fern Farms to develop core scenario elements that were more specific to the dairy and beef sectors and common across the three cooperatives, such as driving forces, temperature outcomes, emissions pathways, and high-level narratives."/>
    <x v="5"/>
    <x v="5"/>
  </r>
  <r>
    <s v="MERCURY NZ LIMITED2024"/>
    <s v="MERCURY NZ LIMITED"/>
    <n v="2024"/>
    <s v="Yes"/>
    <s v="medium"/>
    <s v="We also collaborated on the Energy and Telecommunications Sector climate-related scenarios with diverse businesses and external parties. These helped us test and validate our scenarios, risks and opportunities and identify any gaps in our analysis."/>
    <x v="5"/>
    <x v="1"/>
  </r>
  <r>
    <s v="MERCURY NZ LIMITED2025"/>
    <s v="MERCURY NZ LIMITED"/>
    <n v="2025"/>
    <s v="Yes"/>
    <s v="medium"/>
    <s v="&quot;We collaborated with external stakeholders, including through the Energy and Telecommunications Sector climate-related scenarios development, to test and validate our scenarios, risks and opportunities and identify any gaps in our analysis.&quot; And: &quot;This process included multiple workshops with internal subject matter experts across business units...&quot;"/>
    <x v="0"/>
    <x v="1"/>
  </r>
  <r>
    <s v="METLIFECARE LIMITED2024"/>
    <s v="METLIFECARE LIMITED"/>
    <n v="2024"/>
    <s v="Yes"/>
    <s v="high"/>
    <s v="Our scenarios largely drew from the underlying assumptions and data sets that informed the Construction and Property sector scenarios, which were developed by a working group led by the New Zealand Green Building Council, with participation by Metlifecare representatives. We also participated in and took learnings from the Healthcare sector scenario development. Our company-level scenarios were collaboratively developed with key internal stakeholders, who provided input on assumptions specific to Metlifecare's operations and activities."/>
    <x v="2"/>
    <x v="0"/>
  </r>
  <r>
    <s v="METLIFECARE LIMITED2025"/>
    <s v="METLIFECARE LIMITED"/>
    <n v="2025"/>
    <s v="Yes"/>
    <s v="high"/>
    <s v="&quot;Our company-level scenarios were collaboratively developed with key internal stakeholders, who provided input on assumptions specific to Metlifecare's operations and activities.&quot; And: &quot;Our scenarios largely drew from the underlying assumptions and data sets that informed the Construction and Property sector scenarios, which were developed by a working group led by the New Zealand Green Building Council, with participation by Metlifecare representatives. We also participated in and took learnings from the Healthcare sector scenario development in FY24.&quot;"/>
    <x v="2"/>
    <x v="0"/>
  </r>
  <r>
    <s v="MOVE LOGISTICS GROUP LIMITED2025"/>
    <s v="MOVE LOGISTICS GROUP LIMITED"/>
    <n v="2025"/>
    <s v="Yes"/>
    <s v="medium"/>
    <s v="A group of executives, general management and subject matter experts from across the business participated in several workshop sessions, facilitated by external consultants, to develop MOVE's entity level climate scenario analysis in 2024 and to refine and update the scenario narratives in 2025. [...] The political, social, and economic context of each of the key driving forces was explored, with participants working in groups and brainstorming potential developments under each scenario and time horizon."/>
    <x v="4"/>
    <x v="0"/>
  </r>
  <r>
    <s v="NELSON BUILDING SOCIETY2025"/>
    <s v="NELSON BUILDING SOCIETY"/>
    <n v="2025"/>
    <s v="Yes"/>
    <s v="medium"/>
    <s v="&quot;Design principles - Members of our Board, Senior Leadership Team, and representatives from across our business agreed design principles for our climate narratives.&quot; &quot;Within FY25, NBS revised the scenario analysis previously undertaken with KPMG with support from Oxygen Consulting. Senior Leaders and relevant stakeholders from across our business attended a workshop facilitated by Oxygen Consulting to review the FY24 climate-related risks and opportunities and agree our management responses.&quot;"/>
    <x v="4"/>
    <x v="0"/>
  </r>
  <r>
    <s v="NEW ZEALAND KING SALMON INVESTMENTS LIMITED2025"/>
    <s v="NEW ZEALAND KING SALMON INVESTMENTS LIMITED"/>
    <n v="2025"/>
    <s v="Yes"/>
    <s v="high"/>
    <s v="In FY25, NZKS became a partner to The Aotearoa Circle. This enabled the involvement and active collaboration with key stakeholders in the seafood industry to help the development of the Seafood Nature, Climate and Te Ao MÄori Scenarios. This is an ongoing project that will be finalised in FY26. The process is facilitated by an external sustainability advisory firm and involved multiple workshops and meetings."/>
    <x v="1"/>
    <x v="6"/>
  </r>
  <r>
    <s v="NIB NZ LIMITED2024"/>
    <s v="NIB NZ LIMITED"/>
    <n v="2024"/>
    <s v="Yes"/>
    <s v="medium"/>
    <s v="&quot;the scenario narratives are broadly aligned with and drew on modelling in the Financial Services Council (FSC) NZ financial services sector climate scenarios published in 2023 (FSC scenarios) which we were proud to be a part of developing via our FSC membership.&quot; And: &quot;During the year we engaged with a number of external stakeholders on climate action including contributing to the development of the FSC scenarios as part of our membership of the industry body.&quot;"/>
    <x v="5"/>
    <x v="0"/>
  </r>
  <r>
    <s v="OCEANIA HEALTHCARE LIMITED2024"/>
    <s v="OCEANIA HEALTHCARE LIMITED"/>
    <n v="2024"/>
    <s v="Yes"/>
    <s v="high"/>
    <s v="Oceania participated as a member of the Technical Working Group in the development of climate scenarios on behalf of the construction and property sector coordinated by the New Zealand Green Business Council (NZGBC) and facilitated by Beca, in 2022-2023. [...] Oceania also participated as a member of the Technical Working Group in the development of climate scenarios on behalf of the healthcare sector, which were facilitated by Tonkin+Taylor (Climate Scenarios for the Healthcare Sector). [...] Oceania's entity level scenario analysis process was conducted with input from management and SMEs across a series of workshops, with executive sponsorship from the CFO."/>
    <x v="2"/>
    <x v="5"/>
  </r>
  <r>
    <s v="OCEANIA HEALTHCARE LIMITED2025"/>
    <s v="OCEANIA HEALTHCARE LIMITED"/>
    <n v="2025"/>
    <s v="Yes"/>
    <s v="high"/>
    <s v="Oceania contributed to the development of climate-related scenarios for both the Construction and Property Sector, and the Health Sector (together, the Sector Scenarios), participating as a member of the respective Technical Working Groups. ... Oceania's entity level scenario analysis process was conducted with input from management and subject matter experts including clinical, operational and functional expertise. Across a series of workshops, with executive sponsorship from the CFO, Oceania developed three climate scenarios from the Sector Scenarios."/>
    <x v="2"/>
    <x v="0"/>
  </r>
  <r>
    <s v="PARTNERS LIFE LIMITED2024"/>
    <s v="PARTNERS LIFE LIMITED"/>
    <n v="2024"/>
    <s v="Yes"/>
    <s v="high"/>
    <s v="PLL joined the Financial Services Council ('FSC') initiative to develop scenario narratives for the financial services sector and was actively involved with their development."/>
    <x v="3"/>
    <x v="0"/>
  </r>
  <r>
    <s v="PARTNERS LIFE LIMITED2025"/>
    <s v="PARTNERS LIFE LIMITED"/>
    <n v="2025"/>
    <s v="Yes"/>
    <s v="medium"/>
    <s v="Following the Company's active involvement in the FSC initiative and development of the sectoral scenarios, our scenarios are aligned to the sectoral scenarios defined by the FSC in 2023."/>
    <x v="4"/>
    <x v="0"/>
  </r>
  <r>
    <s v="PGG WRIGHTSON LIMITED2024"/>
    <s v="PGG WRIGHTSON LIMITED"/>
    <n v="2024"/>
    <s v="Yes"/>
    <s v="medium"/>
    <s v="PGW participated in the development of these scenarios, with staff attending several sector-based workshops in 2022, before the release of the scenarios in April 2023."/>
    <x v="1"/>
    <x v="0"/>
  </r>
  <r>
    <s v="PGG WRIGHTSON LIMITED2025"/>
    <s v="PGG WRIGHTSON LIMITED"/>
    <n v="2025"/>
    <s v="Yes"/>
    <s v="high"/>
    <s v="PGW was a participant in the work to develop these scenarios, with PGW staff attending a number of sector-based scenario workshops hosted by The Aotearoa Circle."/>
    <x v="1"/>
    <x v="0"/>
  </r>
  <r>
    <s v="PORT OF TAURANGA LIMITED2024"/>
    <s v="PORT OF TAURANGA LIMITED"/>
    <n v="2024"/>
    <s v="Yes"/>
    <s v="medium"/>
    <s v="The Port's three climate scenarios were developed with assistance from external experts and input from external stakeholders to challenge and test the assumptions and findings of each scenario."/>
    <x v="5"/>
    <x v="1"/>
  </r>
  <r>
    <s v="PORT OF TAURANGA LIMITED2025"/>
    <s v="PORT OF TAURANGA LIMITED"/>
    <n v="2025"/>
    <s v="Yes"/>
    <s v="medium"/>
    <s v="&quot;The Port's three climate scenarios were developed with assistance from external experts and input from external stakeholders to challenge and test the assumptions and findings of each scenario.&quot;"/>
    <x v="5"/>
    <x v="1"/>
  </r>
  <r>
    <s v="PRECINCT PROPERTIES NEW ZEALAND LIMITED2024"/>
    <s v="PRECINCT PROPERTIES NEW ZEALAND LIMITED"/>
    <n v="2024"/>
    <s v="Yes"/>
    <s v="high"/>
    <s v="&quot;To support the establishment of a consistent baseline for the property industry in New Zealand, Precinct participated in workshops organised by the New Zealand Green Building Council. These workshops, facilitated by engineering firm Beca, aimed to develop three climate scenarios for the Construction and Property sector.&quot;"/>
    <x v="1"/>
    <x v="5"/>
  </r>
  <r>
    <s v="PRECINCT PROPERTIES NEW ZEALAND LIMITED2025"/>
    <s v="PRECINCT PROPERTIES NEW ZEALAND LIMITED"/>
    <n v="2025"/>
    <s v="Yes"/>
    <s v="medium"/>
    <s v="&quot;Precinct participated in workshops organised by the New Zealand Green Building Council (NZGBC). These workshops, facilitated by engineering firm Beca, aimed to develop three climate scenarios for the Construction and Property sector.&quot;"/>
    <x v="1"/>
    <x v="0"/>
  </r>
  <r>
    <s v="PROPERTY FOR INDUSTRY LIMITED2023"/>
    <s v="PROPERTY FOR INDUSTRY LIMITED"/>
    <n v="2023"/>
    <s v="Yes"/>
    <s v="medium"/>
    <s v="Along with other key stakeholders within the industry, we are pleased to have been involved in overseeing the development of these sector scenarios as part of the Technical Working Group created by NZGBC in 2022."/>
    <x v="1"/>
    <x v="1"/>
  </r>
  <r>
    <s v="PROPERTY FOR INDUSTRY LIMITED2025"/>
    <s v="PROPERTY FOR INDUSTRY LIMITED"/>
    <n v="2025"/>
    <s v="Yes"/>
    <s v="high"/>
    <s v="Along with other key stakeholders within the industry, we are pleased to have been involved in overseeing the development of these sector scenarios as part of the Technical Working Group created by NZGBC in 2022."/>
    <x v="1"/>
    <x v="0"/>
  </r>
  <r>
    <s v="RADIUS RESIDENTIAL CARE LIMITED2024"/>
    <s v="RADIUS RESIDENTIAL CARE LIMITED"/>
    <n v="2024"/>
    <s v="Yes"/>
    <s v="high"/>
    <s v="&quot;Radius Care was a participant in the health sector working group led by Te Whatu Ora and a collective group of health sector stakeholders within New Zealand who collaborated to develop a specific set of climate change scenarios. The project drew on insights from public agencies, private sector entities, research institutes and academia, with Tonkin + Taylor facilitating the process.&quot;"/>
    <x v="1"/>
    <x v="0"/>
  </r>
  <r>
    <s v="RADIUS RESIDENTIAL CARE LIMITED2025"/>
    <s v="RADIUS RESIDENTIAL CARE LIMITED"/>
    <n v="2025"/>
    <s v="Yes"/>
    <s v="high"/>
    <s v="Radius Care was a participant in the health sector working group led by Te Whatu Ora and a collective group of health sector stakeholders within New Zealand who collaborated to develop a specific set of climate change scenarios. The project drew on insights from public agencies, private sector entities, research institutes and academia, with Tonkin + Taylor facilitating the process. We then worked with our own external experts through a series of workshops to further develop the company's own scenarios relevant to our organisation."/>
    <x v="1"/>
    <x v="0"/>
  </r>
  <r>
    <s v="RESTAURANT BRANDS NEW ZEALAND LIMITED2023"/>
    <s v="RESTAURANT BRANDS NEW ZEALAND LIMITED"/>
    <n v="2023"/>
    <s v="Yes"/>
    <s v="medium"/>
    <s v="Restaurant Brands participated in the 'Retail Sector Shared Scenarios Project' led by KPMG which included several large NZ retail companies. The outcome of this collaborative work was the &quot;Integrated Climate Change Scenarios for New Zealand Retail Sector Report&quot; published by KPMG in September 2023."/>
    <x v="1"/>
    <x v="0"/>
  </r>
  <r>
    <s v="SCALES CORPORATION LIMITED2023"/>
    <s v="SCALES CORPORATION LIMITED"/>
    <n v="2023"/>
    <s v="Yes"/>
    <s v="medium"/>
    <s v="Management has also attended these courses and represented Scales on the leadership group for the Aotearoa Agri-Adaptation Roadmap which established agri-sector wide climate-related scenarios for New Zealand (see Strategy section below). [...] In 2023, the New Zealand agricultural sector collaborated to produce an Agri-Adaptation Roadmap to guide the sector's adaptation to climate change."/>
    <x v="1"/>
    <x v="0"/>
  </r>
  <r>
    <s v="SMARTPAY HOLDINGS LIMITED2024"/>
    <s v="SMARTPAY HOLDINGS LIMITED"/>
    <n v="2024"/>
    <s v="Yes"/>
    <s v="high"/>
    <s v="&quot;The retail-sector scenarios were developed as a collaboration between major organisations in the New Zealand retail industry (including Smartpay) and KPMG New Zealand in 2023, with the purpose to support strategic decision-making in retail businesses and those preparing climate-related disclosures in-line with the Aotearoa New Zealand Climate Standards.&quot; / &quot;Smartpay chose to analyse the retail-sector scenarios as it had significant involvement in their development as one of the project partners.&quot;"/>
    <x v="1"/>
    <x v="0"/>
  </r>
  <r>
    <s v="SMARTPAY HOLDINGS LIMITED2025"/>
    <s v="SMARTPAY HOLDINGS LIMITED"/>
    <n v="2025"/>
    <s v="Yes"/>
    <s v="high"/>
    <s v="The retail sector scenarios were developed as a collaboration between major organisations in the New Zealand retail industry (including Smartpay) and KPMG New Zealand in 2023, with the purpose to support strategic decision-making in retail businesses and those preparing climate-related disclosures in-line with the Aotearoa New Zealand Climate Standards. Smartpay chose to utilise the retail sector scenarios as Smartpay had significant involvement in their development as one of the project partners."/>
    <x v="1"/>
    <x v="0"/>
  </r>
  <r>
    <s v="SOUTHERN CROSS MEDICAL CARE SOCIETY2024"/>
    <s v="SOUTHERN CROSS MEDICAL CARE SOCIETY"/>
    <n v="2024"/>
    <s v="Yes"/>
    <s v="medium"/>
    <s v="Step 2: Identified key stakeholders to form the Society Working Group to engage with and help develop the climate scenarios and identify climate-related risks to the Society's business strategy. Step 3: Drafted scenarios and met with the Society Working Group. Step 5: Tested and refined climate scenarios through small group interviews, including a meeting with the Society's Chief Medical Officer, and discussions with the Society Working Group. Step 6: Climate scenarios were discussed with and reviewed by the Society Leadership Team and the Society Board."/>
    <x v="2"/>
    <x v="0"/>
  </r>
  <r>
    <s v="SOUTHERN CROSS MEDICAL CARE SOCIETY2025"/>
    <s v="SOUTHERN CROSS MEDICAL CARE SOCIETY"/>
    <n v="2025"/>
    <s v="Yes"/>
    <s v="high"/>
    <s v="The Society was a participant in the Financial Service Council working group that developed the scenarios and created the report. Our scenarios were created with the help of specialist external advisers (Finity Consulting Pty Ltd), and with input from an internal working group made up of representatives from across the business (Society Working Group). ... Step 2: Identified key stakeholders to form the Society Working Group to engage with and help develop the climate scenarios and identify climate-related risks to the Society's business strategy. Step 3: Drafted scenarios and met with the Society Working Group. Step 5: Tested and refined climate scenarios through small group interviews, including a meeting with the Society's Chief Medical Officer, and discussions with the Society Working Group."/>
    <x v="4"/>
    <x v="0"/>
  </r>
  <r>
    <s v="SPARK NEW ZEALAND LIMITED2024"/>
    <s v="SPARK NEW ZEALAND LIMITED"/>
    <n v="2024"/>
    <s v="Yes"/>
    <s v="high"/>
    <s v="Over the past year Spark co-led a sector-wide approach to scenario development. A shared sector approach is recommended by the XRB. The sector scenarios were developed through a series of workshops, facilitated by environmental consultancy Tonkin + Taylor and our industry body The Telecommunications Forum (TCF). ... Throughout the process the sector consulted with the Ministry for the Environment, the Climate Change Commission, and representatives from the energy sector who were integrated into the TCF process. ... The scenarios were designed and agreed in consultation across the sector."/>
    <x v="1"/>
    <x v="0"/>
  </r>
  <r>
    <s v="SPARK NEW ZEALAND LIMITED2025"/>
    <s v="SPARK NEW ZEALAND LIMITED"/>
    <n v="2025"/>
    <s v="Yes"/>
    <s v="high"/>
    <s v="&quot;A smaller 'project management' team and wider 'stakeholder group' were established to support and oversee this work... While the wider stakeholder group consisted of 20+ individuals across the nine organisations involved, their role was to bring their sector expertise to this engagement process and provide the inputs for the scenario development. A shortlist of 19 drivers were identified and mapped across each of the three scenarios during two in-person workshops... The scenarios presented here have been developed based on input from the stakeholder representatives from the nine organisations involved in this project... Stakeholders have been provided the opportunity to review and comment on scenarios.&quot;"/>
    <x v="3"/>
    <x v="1"/>
  </r>
  <r>
    <s v="STRIDE INVESTMENT MANAGEMENT LIMITED2024"/>
    <s v="STRIDE INVESTMENT MANAGEMENT LIMITED"/>
    <n v="2024"/>
    <s v="Yes"/>
    <s v="high"/>
    <s v="&quot;There were 45 organisations involved in the development of the sector scenarios, including listed property companies, retirement village and aged care operators, property developers and materials suppliers. A number of workshops were held over a period of approximately 9 months, with the draft scenarios being reviewed by the working group as well as interested stakeholders such as major investors.&quot; and &quot;Stride was an active participant in the development of the sector scenarios for the construction and property sector, including being involved in both the leadership group and the technical working group.&quot;"/>
    <x v="1"/>
    <x v="0"/>
  </r>
  <r>
    <s v="STRIDE INVESTMENT MANAGEMENT LIMITED2025"/>
    <s v="STRIDE INVESTMENT MANAGEMENT LIMITED"/>
    <n v="2025"/>
    <s v="Yes"/>
    <s v="high"/>
    <s v="Stride was an active participant in the development of the sector scenarios for the construction and property sector, including being involved in both the leadership group and the technical working group. The sector scenario analysis for the construction and property sector was led by the New Zealand Green Building Council, with involvement from entities across the value chain within the sector. Beca facilitated the development of the scenarios, through workshops involving the technical working group. The scenarios were then approved by the leadership group, on recommendation from the technical working group."/>
    <x v="1"/>
    <x v="0"/>
  </r>
  <r>
    <s v="SUMMERSET GROUP HOLDINGS LIMITED2023"/>
    <s v="SUMMERSET GROUP HOLDINGS LIMITED"/>
    <n v="2023"/>
    <s v="Yes"/>
    <s v="high"/>
    <s v="Summerset was a participant in the Climate Scenarios for the Construction and Property Sector working group led by the New Zealand Green Building Council, with facilitation and climate change and resilience expertise provided by BECA. There were 45 organisations, including at least four retirement village and aged care operators, involved in developing the final scenarios through a series of workshops over nine months."/>
    <x v="2"/>
    <x v="0"/>
  </r>
  <r>
    <s v="SUMMERSET GROUP HOLDINGS LIMITED2024"/>
    <s v="SUMMERSET GROUP HOLDINGS LIMITED"/>
    <n v="2024"/>
    <s v="Yes"/>
    <s v="high"/>
    <s v="&quot;Throughout 2023, and early 2024, Summerset participated in both the construction and property sector, and the health sector scenario creation processes.&quot; / &quot;Steps 1 and 2: Engage sector stakeholders and set focal questions, scope and timeframe for the scenario development process.&quot; / &quot;Throughout the scneario analysis process Summerset's Climate Working Group acted as the key mechanism for consulation, feedback and considerations. Supplementary to this was the additional inclusion of Summerset's Sustainability Forum as a key stakeholder from mid-2024 moving forward for all climate-related disclosures work programme deliverables.&quot; / &quot;Summerset was a contributing member to the creation of these scenarios [Health Sector scenarios].&quot;"/>
    <x v="1"/>
    <x v="5"/>
  </r>
  <r>
    <s v="SYNLAIT MILK LIMITED2024"/>
    <s v="SYNLAIT MILK LIMITED"/>
    <n v="2024"/>
    <s v="Yes"/>
    <s v="medium"/>
    <s v="&quot;Synlait engaged Deloitte to assist with the risk assessment scenario analysis... we worked with Deloitte to identify and engage subject matter experts who are best positioned to provide insight and commentary on climate risks and opportunities... An SME group was established to ensure inputs and outputs of the risk assessment process were relevant and usable for Synlait. This included representation from all areas of the organisation at various levels of seniority. Driving forces: Synlait's subject matter experts agreed the key driving forces of change that were used to help develop the scenarios.&quot;"/>
    <x v="4"/>
    <x v="0"/>
  </r>
  <r>
    <s v="T&amp;G GLOBAL LIMITED2023"/>
    <s v="T&amp;G GLOBAL LIMITED"/>
    <n v="2023"/>
    <s v="Yes"/>
    <s v="high"/>
    <s v="Over 30 T&amp;G team members from across our global value chain, together with a representative from The New Zealand Institute for Plant &amp; Food Research, were brought together to form a working group. ... In developing its sector scenarios, The Aotearoa Circle brought together the diversity of the agriculture sector to collaborate, share knowledge, science and insights, and inform the outcome. T&amp;G participated as a member of the Technical Expert Group."/>
    <x v="1"/>
    <x v="5"/>
  </r>
  <r>
    <s v="T&amp;G GLOBAL LIMITED2024"/>
    <s v="T&amp;G GLOBAL LIMITED"/>
    <n v="2024"/>
    <s v="Yes"/>
    <s v="high"/>
    <s v="Sector scenarios were developed by The Aotearoa Circle in 2022 and 2023 by bringing together the diversity of the agriculture sector to collaborate, share knowledge, science and insights, and inform the outcome. T&amp;G participated as a member of the Technical Expert Group."/>
    <x v="1"/>
    <x v="5"/>
  </r>
  <r>
    <s v="THE CO-OPERATIVE BANK LIMITED2024"/>
    <s v="THE CO-OPERATIVE BANK LIMITED"/>
    <n v="2024"/>
    <s v="Yes"/>
    <s v="high"/>
    <s v="&quot;The Co-operative along with other members of the New Zealand Banking Association (NZBA), participated in the development of a common set of climate scenario narratives for the New Zealand banking sector.&quot; And: &quot;In 2022 and 2023 we participated in the sectoral working group involved with developing climate scenarios for the banking sector facilitated by the New Zealand Banking Association (NZBA).&quot;"/>
    <x v="1"/>
    <x v="0"/>
  </r>
  <r>
    <s v="THE WAREHOUSE GROUP LIMITED2024"/>
    <s v="THE WAREHOUSE GROUP LIMITED"/>
    <n v="2024"/>
    <s v="Yes"/>
    <s v="medium"/>
    <s v="In 2023, The Warehouse Group engaged with other New Zealand retailers that are climate reporting entities and KPMG New Zealand to develop shared scenarios for the New Zealand retail sector (&quot;Retail Sector Scenarios&quot;). These scenarios are detailed in a published report entitled &quot;The Futures of Retail&quot;. [...] We would like to thank and acknowledge our New Zealand retail peers for their participation in the New Zealand retail sector's scenario-setting process in 2023 which formed the start of this journey."/>
    <x v="2"/>
    <x v="0"/>
  </r>
  <r>
    <s v="TOURISM HOLDINGS LIMITED2024"/>
    <s v="TOURISM HOLDINGS LIMITED"/>
    <n v="2024"/>
    <s v="Yes"/>
    <s v="high"/>
    <s v="&quot;thl contributed to the development of the Aotearoa Circle Transport Sector Climate Scenarios and the Tourism Sector Climate Change Scenarios [...] thl management were part of the leadership group that guided, reviewed, and provided feedback for the recently released Aotearoa Circle Tourism and Transport Sector Climate Scenarios respectively. [...] External partner Aotearoa Circle developed the Tourism and Transport Sector Climate Scenarios used by thl, with the involvement of thl and other public and private-sector partners.&quot;"/>
    <x v="1"/>
    <x v="0"/>
  </r>
  <r>
    <s v="TOURISM HOLDINGS LIMITED2025"/>
    <s v="TOURISM HOLDINGS LIMITED"/>
    <n v="2025"/>
    <s v="Yes"/>
    <s v="medium"/>
    <s v="&quot;The Aotearoa Circle's transport and tourism sector climate change scenarios, which thl contributed to the development of, were also considered in thl's scenario analysis...&quot;"/>
    <x v="1"/>
    <x v="0"/>
  </r>
  <r>
    <s v="TOWER LIMITED2024"/>
    <s v="TOWER LIMITED"/>
    <n v="2024"/>
    <s v="Yes"/>
    <s v="high"/>
    <s v="&quot;Tower's climate scenarios are based on the Insurance Council of New Zealand's (ICNZ) shared climate scenarios for the insurance sector. In 2022, Tower participated in a New Zealand insurance industry initiative to co-design these industry scenarios.&quot;"/>
    <x v="2"/>
    <x v="0"/>
  </r>
  <r>
    <s v="WINTON LAND LIMITED2024"/>
    <s v="WINTON LAND LIMITED"/>
    <n v="2024"/>
    <s v="Yes"/>
    <s v="medium"/>
    <s v="The New Zealand Green Building Council (NZGBC) published scenarios for the property and construction sector in 2023 that were developed by Beca Limited (Beca) in consultation with the Technical Working group created by NZGBC in 2022. The Technical Working Group included business leaders and key stakeholders within the industry of which Winton was added near the end of the process."/>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FDC928-2C3D-4A5D-99F8-E88BD47DB771}"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8">
    <pivotField showAll="0"/>
    <pivotField dataField="1" showAll="0"/>
    <pivotField showAll="0"/>
    <pivotField showAll="0"/>
    <pivotField showAll="0"/>
    <pivotField showAll="0"/>
    <pivotField axis="axisRow" showAll="0">
      <items count="7">
        <item x="5"/>
        <item x="0"/>
        <item x="4"/>
        <item x="3"/>
        <item x="2"/>
        <item x="1"/>
        <item t="default"/>
      </items>
    </pivotField>
    <pivotField showAll="0">
      <items count="8">
        <item x="4"/>
        <item x="1"/>
        <item x="5"/>
        <item x="3"/>
        <item x="0"/>
        <item x="6"/>
        <item x="2"/>
        <item t="default"/>
      </items>
    </pivotField>
  </pivotFields>
  <rowFields count="1">
    <field x="6"/>
  </rowFields>
  <rowItems count="7">
    <i>
      <x/>
    </i>
    <i>
      <x v="1"/>
    </i>
    <i>
      <x v="2"/>
    </i>
    <i>
      <x v="3"/>
    </i>
    <i>
      <x v="4"/>
    </i>
    <i>
      <x v="5"/>
    </i>
    <i t="grand">
      <x/>
    </i>
  </rowItems>
  <colItems count="1">
    <i/>
  </colItems>
  <dataFields count="1">
    <dataField name="Count of company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D5BF01-F5DA-429F-A5AB-C389AF56FB23}" name="Table3" displayName="Table3" ref="A3:H19" totalsRowShown="0">
  <autoFilter ref="A3:H19" xr:uid="{43D5BF01-F5DA-429F-A5AB-C389AF56FB23}"/>
  <tableColumns count="8">
    <tableColumn id="1" xr3:uid="{9538C9D3-6788-4A83-B173-C7D4C638ECE8}" name="Column"/>
    <tableColumn id="2" xr3:uid="{EC446C99-A721-47DE-B6DB-EF99EDFF9EDA}" name="company_name"/>
    <tableColumn id="3" xr3:uid="{570568BE-E962-4509-93D7-3BC2800EEB20}" name="period_year"/>
    <tableColumn id="4" xr3:uid="{3AD3283A-F4E4-42D7-B222-F2415A46AF75}" name="Q14_answer"/>
    <tableColumn id="5" xr3:uid="{29496DED-A0B0-4341-B5C2-382FF9B1D6B9}" name="Q14_confidence"/>
    <tableColumn id="6" xr3:uid="{7CC48751-35D5-4B57-A4B6-F44FE56A3979}" name="Q14_evidence"/>
    <tableColumn id="7" xr3:uid="{4377CC6D-C21C-4C15-A441-64622622D714}" name="Category"/>
    <tableColumn id="8" xr3:uid="{2DB27FF1-2F69-4624-9657-C1DBD30D0810}" name="participation_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84BBEE-B0E7-42B8-AFBC-99E352B5227E}" name="Table4" displayName="Table4" ref="A3:H7" totalsRowShown="0">
  <autoFilter ref="A3:H7" xr:uid="{BA84BBEE-B0E7-42B8-AFBC-99E352B5227E}"/>
  <tableColumns count="8">
    <tableColumn id="1" xr3:uid="{09FEC781-B3AF-472F-B837-FC6246E1DC88}" name="Column"/>
    <tableColumn id="2" xr3:uid="{715140DB-1990-4369-A836-CA33667DD574}" name="company_name"/>
    <tableColumn id="3" xr3:uid="{0BD318E1-60B8-4981-B89C-824DE6B0CF15}" name="period_year"/>
    <tableColumn id="4" xr3:uid="{82D7EA48-2DA9-4187-B685-F58E83CC3702}" name="Q14_answer"/>
    <tableColumn id="5" xr3:uid="{36DEDA97-308E-4F3C-B92C-B07C9751224C}" name="Q14_confidence"/>
    <tableColumn id="6" xr3:uid="{D2C53D53-9518-4BFD-8230-E03DFA4EF326}" name="Q14_evidence"/>
    <tableColumn id="7" xr3:uid="{EE03B414-EF74-4414-A52F-75AAE3E9B3B0}" name="Category"/>
    <tableColumn id="8" xr3:uid="{42FC86D8-D403-4301-B625-03B3BDDFCEB1}" name="participation_typ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6C55C14-5238-4CAF-9500-4EE81DFB68DE}" name="Table5" displayName="Table5" ref="A3:H10" totalsRowShown="0">
  <autoFilter ref="A3:H10" xr:uid="{06C55C14-5238-4CAF-9500-4EE81DFB68DE}"/>
  <tableColumns count="8">
    <tableColumn id="1" xr3:uid="{593334C1-D17B-4C9C-9022-8EE321C13602}" name="Column"/>
    <tableColumn id="2" xr3:uid="{D09652DC-2766-400F-8F2F-CFB549ED72C5}" name="company_name"/>
    <tableColumn id="3" xr3:uid="{D07DD7B3-C4A5-45D5-B8E2-3795EA56769F}" name="period_year"/>
    <tableColumn id="4" xr3:uid="{FF866D62-C3A4-47D7-86E7-CCAC0402E53E}" name="Q14_answer"/>
    <tableColumn id="5" xr3:uid="{394F3B26-FFF3-4A22-8408-1C9144252832}" name="Q14_confidence"/>
    <tableColumn id="6" xr3:uid="{0FA56783-160A-42BB-893E-0945901B0FE1}" name="Q14_evidence"/>
    <tableColumn id="7" xr3:uid="{A0EC1320-BA92-4EDA-95D2-1B6B8438F463}" name="Category"/>
    <tableColumn id="8" xr3:uid="{DD1F3EC2-09A9-41F7-B53B-EB2954C10746}" name="participation_typ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D59667-22A8-4BD3-9518-CBB23D053AE1}" name="Table6" displayName="Table6" ref="A3:H9" totalsRowShown="0">
  <autoFilter ref="A3:H9" xr:uid="{87D59667-22A8-4BD3-9518-CBB23D053AE1}"/>
  <tableColumns count="8">
    <tableColumn id="1" xr3:uid="{E66FBAD8-E84D-49A1-8CCF-336FFE939887}" name="Column"/>
    <tableColumn id="2" xr3:uid="{6E8F0290-C651-4D53-BC64-93A1B496080B}" name="company_name"/>
    <tableColumn id="3" xr3:uid="{AE85F1C8-0149-48BE-ABDF-1347AA37192A}" name="period_year"/>
    <tableColumn id="4" xr3:uid="{DAAD744C-52CA-4A43-8B68-155ABC8FDB0B}" name="Q14_answer"/>
    <tableColumn id="5" xr3:uid="{443A465D-BC83-44DF-B3C8-C1BFF93BF1C1}" name="Q14_confidence"/>
    <tableColumn id="6" xr3:uid="{EFD9690F-FC48-42CD-9B04-666A92C21828}" name="Q14_evidence"/>
    <tableColumn id="7" xr3:uid="{13BC2055-163E-43EC-8C08-80B21A757C52}" name="Category"/>
    <tableColumn id="8" xr3:uid="{F17DA634-A424-4ACF-AB34-6C95AABA6D67}" name="participation_typ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E0A229-7F52-4246-8848-AF927D9DD698}" name="Table7" displayName="Table7" ref="A3:H10" totalsRowShown="0">
  <autoFilter ref="A3:H10" xr:uid="{23E0A229-7F52-4246-8848-AF927D9DD698}"/>
  <tableColumns count="8">
    <tableColumn id="1" xr3:uid="{78A1232B-4261-4E8F-B482-EF5A3217BCFC}" name="Column"/>
    <tableColumn id="2" xr3:uid="{D82F08C5-4B32-4D2F-AB2D-54DF71820490}" name="company_name"/>
    <tableColumn id="3" xr3:uid="{926559E3-ADB8-4B60-BAEE-2355E3B29610}" name="period_year"/>
    <tableColumn id="4" xr3:uid="{5350F54E-0210-460F-83C5-2754FC37D4D6}" name="Q14_answer"/>
    <tableColumn id="5" xr3:uid="{AE1FB582-D030-4335-BDAE-2A23FDAEB77A}" name="Q14_confidence"/>
    <tableColumn id="6" xr3:uid="{3384CFEE-9FF1-4F81-BD3D-7AD6A825D4D4}" name="Q14_evidence"/>
    <tableColumn id="7" xr3:uid="{D33E0F7A-217F-4083-83CB-09E48D5BA277}" name="Category"/>
    <tableColumn id="8" xr3:uid="{2AB32656-C434-4472-B3A6-BBC5A5015C2B}" name="participation_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9CB2B-3F45-4EF8-856F-6462826CB41A}">
  <dimension ref="A1:H19"/>
  <sheetViews>
    <sheetView workbookViewId="0">
      <selection activeCell="F4" sqref="F4"/>
    </sheetView>
  </sheetViews>
  <sheetFormatPr defaultRowHeight="15" x14ac:dyDescent="0.25"/>
  <cols>
    <col min="1" max="1" width="43.140625" bestFit="1" customWidth="1"/>
    <col min="2" max="2" width="39" bestFit="1" customWidth="1"/>
    <col min="3" max="3" width="13.85546875" bestFit="1" customWidth="1"/>
    <col min="4" max="4" width="14" bestFit="1" customWidth="1"/>
    <col min="5" max="5" width="17.85546875" bestFit="1" customWidth="1"/>
    <col min="6" max="6" width="255.7109375" bestFit="1" customWidth="1"/>
    <col min="7" max="7" width="27.5703125" bestFit="1" customWidth="1"/>
    <col min="8" max="8" width="29.7109375" bestFit="1" customWidth="1"/>
  </cols>
  <sheetData>
    <row r="1" spans="1:8" x14ac:dyDescent="0.25">
      <c r="A1" s="4" t="s">
        <v>187</v>
      </c>
    </row>
    <row r="3" spans="1:8" x14ac:dyDescent="0.25">
      <c r="A3" t="s">
        <v>151</v>
      </c>
      <c r="B3" t="s">
        <v>0</v>
      </c>
      <c r="C3" t="s">
        <v>1</v>
      </c>
      <c r="D3" t="s">
        <v>2</v>
      </c>
      <c r="E3" t="s">
        <v>3</v>
      </c>
      <c r="F3" t="s">
        <v>4</v>
      </c>
      <c r="G3" t="s">
        <v>162</v>
      </c>
      <c r="H3" t="s">
        <v>150</v>
      </c>
    </row>
    <row r="4" spans="1:8" x14ac:dyDescent="0.25">
      <c r="A4" t="s">
        <v>171</v>
      </c>
      <c r="B4" t="s">
        <v>146</v>
      </c>
      <c r="C4">
        <v>2024</v>
      </c>
      <c r="D4" t="s">
        <v>6</v>
      </c>
      <c r="E4" t="s">
        <v>10</v>
      </c>
      <c r="F4" t="s">
        <v>147</v>
      </c>
      <c r="G4" t="s">
        <v>154</v>
      </c>
      <c r="H4" t="s">
        <v>159</v>
      </c>
    </row>
    <row r="5" spans="1:8" x14ac:dyDescent="0.25">
      <c r="A5" t="s">
        <v>172</v>
      </c>
      <c r="B5" t="s">
        <v>141</v>
      </c>
      <c r="C5">
        <v>2024</v>
      </c>
      <c r="D5" t="s">
        <v>6</v>
      </c>
      <c r="E5" t="s">
        <v>7</v>
      </c>
      <c r="F5" t="s">
        <v>142</v>
      </c>
      <c r="G5" t="s">
        <v>154</v>
      </c>
      <c r="H5" t="s">
        <v>159</v>
      </c>
    </row>
    <row r="6" spans="1:8" x14ac:dyDescent="0.25">
      <c r="A6" t="s">
        <v>173</v>
      </c>
      <c r="B6" t="s">
        <v>131</v>
      </c>
      <c r="C6">
        <v>2023</v>
      </c>
      <c r="D6" t="s">
        <v>6</v>
      </c>
      <c r="E6" t="s">
        <v>10</v>
      </c>
      <c r="F6" t="s">
        <v>132</v>
      </c>
      <c r="G6" t="s">
        <v>154</v>
      </c>
      <c r="H6" t="s">
        <v>159</v>
      </c>
    </row>
    <row r="7" spans="1:8" x14ac:dyDescent="0.25">
      <c r="A7" t="s">
        <v>174</v>
      </c>
      <c r="B7" t="s">
        <v>13</v>
      </c>
      <c r="C7">
        <v>2023</v>
      </c>
      <c r="D7" t="s">
        <v>6</v>
      </c>
      <c r="E7" t="s">
        <v>7</v>
      </c>
      <c r="F7" t="s">
        <v>14</v>
      </c>
      <c r="G7" t="s">
        <v>154</v>
      </c>
      <c r="H7" t="s">
        <v>159</v>
      </c>
    </row>
    <row r="8" spans="1:8" x14ac:dyDescent="0.25">
      <c r="A8" t="s">
        <v>175</v>
      </c>
      <c r="B8" t="s">
        <v>15</v>
      </c>
      <c r="C8">
        <v>2024</v>
      </c>
      <c r="D8" t="s">
        <v>6</v>
      </c>
      <c r="E8" t="s">
        <v>10</v>
      </c>
      <c r="F8" t="s">
        <v>16</v>
      </c>
      <c r="G8" t="s">
        <v>154</v>
      </c>
      <c r="H8" t="s">
        <v>159</v>
      </c>
    </row>
    <row r="9" spans="1:8" x14ac:dyDescent="0.25">
      <c r="A9" t="s">
        <v>176</v>
      </c>
      <c r="B9" t="s">
        <v>122</v>
      </c>
      <c r="C9">
        <v>2024</v>
      </c>
      <c r="D9" t="s">
        <v>6</v>
      </c>
      <c r="E9" t="s">
        <v>7</v>
      </c>
      <c r="F9" t="s">
        <v>123</v>
      </c>
      <c r="G9" t="s">
        <v>154</v>
      </c>
      <c r="H9" t="s">
        <v>159</v>
      </c>
    </row>
    <row r="10" spans="1:8" x14ac:dyDescent="0.25">
      <c r="A10" t="s">
        <v>177</v>
      </c>
      <c r="B10" t="s">
        <v>95</v>
      </c>
      <c r="C10">
        <v>2025</v>
      </c>
      <c r="D10" t="s">
        <v>6</v>
      </c>
      <c r="E10" t="s">
        <v>10</v>
      </c>
      <c r="F10" t="s">
        <v>97</v>
      </c>
      <c r="G10" t="s">
        <v>154</v>
      </c>
      <c r="H10" t="s">
        <v>159</v>
      </c>
    </row>
    <row r="11" spans="1:8" x14ac:dyDescent="0.25">
      <c r="A11" t="s">
        <v>178</v>
      </c>
      <c r="B11" t="s">
        <v>95</v>
      </c>
      <c r="C11">
        <v>2024</v>
      </c>
      <c r="D11" t="s">
        <v>6</v>
      </c>
      <c r="E11" t="s">
        <v>10</v>
      </c>
      <c r="F11" t="s">
        <v>96</v>
      </c>
      <c r="G11" t="s">
        <v>154</v>
      </c>
      <c r="H11" t="s">
        <v>161</v>
      </c>
    </row>
    <row r="12" spans="1:8" x14ac:dyDescent="0.25">
      <c r="A12" t="s">
        <v>179</v>
      </c>
      <c r="B12" t="s">
        <v>20</v>
      </c>
      <c r="C12">
        <v>2025</v>
      </c>
      <c r="D12" t="s">
        <v>6</v>
      </c>
      <c r="E12" t="s">
        <v>7</v>
      </c>
      <c r="F12" t="s">
        <v>22</v>
      </c>
      <c r="G12" t="s">
        <v>154</v>
      </c>
      <c r="H12" t="s">
        <v>159</v>
      </c>
    </row>
    <row r="13" spans="1:8" x14ac:dyDescent="0.25">
      <c r="A13" t="s">
        <v>180</v>
      </c>
      <c r="B13" t="s">
        <v>84</v>
      </c>
      <c r="C13">
        <v>2025</v>
      </c>
      <c r="D13" t="s">
        <v>6</v>
      </c>
      <c r="E13" t="s">
        <v>10</v>
      </c>
      <c r="F13" t="s">
        <v>86</v>
      </c>
      <c r="G13" t="s">
        <v>154</v>
      </c>
      <c r="H13" t="s">
        <v>159</v>
      </c>
    </row>
    <row r="14" spans="1:8" x14ac:dyDescent="0.25">
      <c r="A14" t="s">
        <v>181</v>
      </c>
      <c r="B14" t="s">
        <v>84</v>
      </c>
      <c r="C14">
        <v>2024</v>
      </c>
      <c r="D14" t="s">
        <v>6</v>
      </c>
      <c r="E14" t="s">
        <v>10</v>
      </c>
      <c r="F14" t="s">
        <v>85</v>
      </c>
      <c r="G14" t="s">
        <v>154</v>
      </c>
      <c r="H14" t="s">
        <v>159</v>
      </c>
    </row>
    <row r="15" spans="1:8" x14ac:dyDescent="0.25">
      <c r="A15" t="s">
        <v>182</v>
      </c>
      <c r="B15" t="s">
        <v>70</v>
      </c>
      <c r="C15">
        <v>2025</v>
      </c>
      <c r="D15" t="s">
        <v>6</v>
      </c>
      <c r="E15" t="s">
        <v>7</v>
      </c>
      <c r="F15" t="s">
        <v>72</v>
      </c>
      <c r="G15" t="s">
        <v>154</v>
      </c>
      <c r="H15" t="s">
        <v>159</v>
      </c>
    </row>
    <row r="16" spans="1:8" x14ac:dyDescent="0.25">
      <c r="A16" t="s">
        <v>183</v>
      </c>
      <c r="B16" t="s">
        <v>28</v>
      </c>
      <c r="C16">
        <v>2024</v>
      </c>
      <c r="D16" t="s">
        <v>6</v>
      </c>
      <c r="E16" t="s">
        <v>7</v>
      </c>
      <c r="F16" t="s">
        <v>29</v>
      </c>
      <c r="G16" t="s">
        <v>154</v>
      </c>
      <c r="H16" t="s">
        <v>160</v>
      </c>
    </row>
    <row r="17" spans="1:8" x14ac:dyDescent="0.25">
      <c r="A17" t="s">
        <v>184</v>
      </c>
      <c r="B17" t="s">
        <v>68</v>
      </c>
      <c r="C17">
        <v>2024</v>
      </c>
      <c r="D17" t="s">
        <v>6</v>
      </c>
      <c r="E17" t="s">
        <v>7</v>
      </c>
      <c r="F17" t="s">
        <v>69</v>
      </c>
      <c r="G17" t="s">
        <v>154</v>
      </c>
      <c r="H17" t="s">
        <v>160</v>
      </c>
    </row>
    <row r="18" spans="1:8" x14ac:dyDescent="0.25">
      <c r="A18" t="s">
        <v>185</v>
      </c>
      <c r="B18" t="s">
        <v>49</v>
      </c>
      <c r="C18">
        <v>2025</v>
      </c>
      <c r="D18" t="s">
        <v>6</v>
      </c>
      <c r="E18" t="s">
        <v>7</v>
      </c>
      <c r="F18" t="s">
        <v>51</v>
      </c>
      <c r="G18" t="s">
        <v>154</v>
      </c>
      <c r="H18" t="s">
        <v>159</v>
      </c>
    </row>
    <row r="19" spans="1:8" x14ac:dyDescent="0.25">
      <c r="A19" t="s">
        <v>186</v>
      </c>
      <c r="B19" t="s">
        <v>49</v>
      </c>
      <c r="C19">
        <v>2024</v>
      </c>
      <c r="D19" t="s">
        <v>6</v>
      </c>
      <c r="E19" t="s">
        <v>7</v>
      </c>
      <c r="F19" t="s">
        <v>50</v>
      </c>
      <c r="G19" t="s">
        <v>154</v>
      </c>
      <c r="H19" t="s">
        <v>159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25407-AD7D-42A0-AB12-7F09CF3A3792}">
  <dimension ref="A1:H7"/>
  <sheetViews>
    <sheetView workbookViewId="0">
      <selection activeCell="F4" sqref="F4"/>
    </sheetView>
  </sheetViews>
  <sheetFormatPr defaultRowHeight="15" x14ac:dyDescent="0.25"/>
  <cols>
    <col min="1" max="1" width="27.28515625" bestFit="1" customWidth="1"/>
    <col min="2" max="2" width="23.140625" bestFit="1" customWidth="1"/>
    <col min="3" max="3" width="13.85546875" bestFit="1" customWidth="1"/>
    <col min="4" max="4" width="14" bestFit="1" customWidth="1"/>
    <col min="5" max="5" width="17.85546875" bestFit="1" customWidth="1"/>
    <col min="6" max="6" width="255.7109375" bestFit="1" customWidth="1"/>
    <col min="7" max="7" width="40.42578125" bestFit="1" customWidth="1"/>
    <col min="8" max="8" width="29.7109375" bestFit="1" customWidth="1"/>
  </cols>
  <sheetData>
    <row r="1" spans="1:8" x14ac:dyDescent="0.25">
      <c r="A1" s="4" t="s">
        <v>170</v>
      </c>
    </row>
    <row r="3" spans="1:8" x14ac:dyDescent="0.25">
      <c r="A3" t="s">
        <v>151</v>
      </c>
      <c r="B3" t="s">
        <v>0</v>
      </c>
      <c r="C3" t="s">
        <v>1</v>
      </c>
      <c r="D3" t="s">
        <v>2</v>
      </c>
      <c r="E3" t="s">
        <v>3</v>
      </c>
      <c r="F3" t="s">
        <v>4</v>
      </c>
      <c r="G3" t="s">
        <v>162</v>
      </c>
      <c r="H3" t="s">
        <v>150</v>
      </c>
    </row>
    <row r="4" spans="1:8" x14ac:dyDescent="0.25">
      <c r="A4" t="s">
        <v>166</v>
      </c>
      <c r="B4" t="s">
        <v>5</v>
      </c>
      <c r="C4">
        <v>2025</v>
      </c>
      <c r="D4" t="s">
        <v>6</v>
      </c>
      <c r="E4" t="s">
        <v>7</v>
      </c>
      <c r="F4" t="s">
        <v>8</v>
      </c>
      <c r="G4" t="s">
        <v>152</v>
      </c>
      <c r="H4" t="s">
        <v>159</v>
      </c>
    </row>
    <row r="5" spans="1:8" x14ac:dyDescent="0.25">
      <c r="A5" t="s">
        <v>167</v>
      </c>
      <c r="B5" t="s">
        <v>81</v>
      </c>
      <c r="C5">
        <v>2025</v>
      </c>
      <c r="D5" t="s">
        <v>6</v>
      </c>
      <c r="E5" t="s">
        <v>7</v>
      </c>
      <c r="F5" t="s">
        <v>83</v>
      </c>
      <c r="G5" t="s">
        <v>152</v>
      </c>
      <c r="H5" t="s">
        <v>160</v>
      </c>
    </row>
    <row r="6" spans="1:8" x14ac:dyDescent="0.25">
      <c r="A6" t="s">
        <v>168</v>
      </c>
      <c r="B6" t="s">
        <v>60</v>
      </c>
      <c r="C6">
        <v>2025</v>
      </c>
      <c r="D6" t="s">
        <v>6</v>
      </c>
      <c r="E6" t="s">
        <v>7</v>
      </c>
      <c r="F6" t="s">
        <v>62</v>
      </c>
      <c r="G6" t="s">
        <v>152</v>
      </c>
      <c r="H6" t="s">
        <v>159</v>
      </c>
    </row>
    <row r="7" spans="1:8" x14ac:dyDescent="0.25">
      <c r="A7" t="s">
        <v>169</v>
      </c>
      <c r="B7" t="s">
        <v>52</v>
      </c>
      <c r="C7">
        <v>2025</v>
      </c>
      <c r="D7" t="s">
        <v>6</v>
      </c>
      <c r="E7" t="s">
        <v>7</v>
      </c>
      <c r="F7" t="s">
        <v>54</v>
      </c>
      <c r="G7" t="s">
        <v>152</v>
      </c>
      <c r="H7" t="s">
        <v>159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41AD5-DEA4-4852-88F5-101F66E41528}">
  <dimension ref="A1:H10"/>
  <sheetViews>
    <sheetView workbookViewId="0">
      <selection activeCell="A15" sqref="A15"/>
    </sheetView>
  </sheetViews>
  <sheetFormatPr defaultRowHeight="15" x14ac:dyDescent="0.25"/>
  <cols>
    <col min="1" max="1" width="42.140625" bestFit="1" customWidth="1"/>
    <col min="2" max="2" width="38" bestFit="1" customWidth="1"/>
    <col min="3" max="3" width="13.85546875" bestFit="1" customWidth="1"/>
    <col min="4" max="4" width="14" bestFit="1" customWidth="1"/>
    <col min="5" max="5" width="17.85546875" bestFit="1" customWidth="1"/>
    <col min="6" max="6" width="255.7109375" bestFit="1" customWidth="1"/>
    <col min="7" max="7" width="38.140625" bestFit="1" customWidth="1"/>
    <col min="8" max="8" width="35.5703125" bestFit="1" customWidth="1"/>
  </cols>
  <sheetData>
    <row r="1" spans="1:8" x14ac:dyDescent="0.25">
      <c r="A1" s="4" t="s">
        <v>195</v>
      </c>
    </row>
    <row r="3" spans="1:8" x14ac:dyDescent="0.25">
      <c r="A3" t="s">
        <v>151</v>
      </c>
      <c r="B3" t="s">
        <v>0</v>
      </c>
      <c r="C3" t="s">
        <v>1</v>
      </c>
      <c r="D3" t="s">
        <v>2</v>
      </c>
      <c r="E3" t="s">
        <v>3</v>
      </c>
      <c r="F3" t="s">
        <v>4</v>
      </c>
      <c r="G3" t="s">
        <v>162</v>
      </c>
      <c r="H3" t="s">
        <v>150</v>
      </c>
    </row>
    <row r="4" spans="1:8" x14ac:dyDescent="0.25">
      <c r="A4" t="s">
        <v>188</v>
      </c>
      <c r="B4" t="s">
        <v>125</v>
      </c>
      <c r="C4">
        <v>2025</v>
      </c>
      <c r="D4" t="s">
        <v>6</v>
      </c>
      <c r="E4" t="s">
        <v>10</v>
      </c>
      <c r="F4" t="s">
        <v>127</v>
      </c>
      <c r="G4" t="s">
        <v>157</v>
      </c>
      <c r="H4" t="s">
        <v>160</v>
      </c>
    </row>
    <row r="5" spans="1:8" x14ac:dyDescent="0.25">
      <c r="A5" t="s">
        <v>189</v>
      </c>
      <c r="B5" t="s">
        <v>98</v>
      </c>
      <c r="C5">
        <v>2024</v>
      </c>
      <c r="D5" t="s">
        <v>6</v>
      </c>
      <c r="E5" t="s">
        <v>10</v>
      </c>
      <c r="F5" t="s">
        <v>99</v>
      </c>
      <c r="G5" t="s">
        <v>157</v>
      </c>
      <c r="H5" t="s">
        <v>159</v>
      </c>
    </row>
    <row r="6" spans="1:8" x14ac:dyDescent="0.25">
      <c r="A6" t="s">
        <v>190</v>
      </c>
      <c r="B6" t="s">
        <v>46</v>
      </c>
      <c r="C6">
        <v>2025</v>
      </c>
      <c r="D6" t="s">
        <v>6</v>
      </c>
      <c r="E6" t="s">
        <v>7</v>
      </c>
      <c r="F6" t="s">
        <v>48</v>
      </c>
      <c r="G6" t="s">
        <v>157</v>
      </c>
      <c r="H6" t="s">
        <v>159</v>
      </c>
    </row>
    <row r="7" spans="1:8" x14ac:dyDescent="0.25">
      <c r="A7" t="s">
        <v>191</v>
      </c>
      <c r="B7" t="s">
        <v>37</v>
      </c>
      <c r="C7">
        <v>2025</v>
      </c>
      <c r="D7" t="s">
        <v>6</v>
      </c>
      <c r="E7" t="s">
        <v>7</v>
      </c>
      <c r="F7" t="s">
        <v>39</v>
      </c>
      <c r="G7" t="s">
        <v>157</v>
      </c>
      <c r="H7" t="s">
        <v>155</v>
      </c>
    </row>
    <row r="8" spans="1:8" x14ac:dyDescent="0.25">
      <c r="A8" t="s">
        <v>192</v>
      </c>
      <c r="B8" t="s">
        <v>37</v>
      </c>
      <c r="C8">
        <v>2024</v>
      </c>
      <c r="D8" t="s">
        <v>6</v>
      </c>
      <c r="E8" t="s">
        <v>10</v>
      </c>
      <c r="F8" t="s">
        <v>38</v>
      </c>
      <c r="G8" t="s">
        <v>157</v>
      </c>
      <c r="H8" t="s">
        <v>154</v>
      </c>
    </row>
    <row r="9" spans="1:8" x14ac:dyDescent="0.25">
      <c r="A9" t="s">
        <v>193</v>
      </c>
      <c r="B9" t="s">
        <v>33</v>
      </c>
      <c r="C9">
        <v>2024</v>
      </c>
      <c r="D9" t="s">
        <v>6</v>
      </c>
      <c r="E9" t="s">
        <v>7</v>
      </c>
      <c r="F9" t="s">
        <v>34</v>
      </c>
      <c r="G9" t="s">
        <v>157</v>
      </c>
      <c r="H9" t="s">
        <v>159</v>
      </c>
    </row>
    <row r="10" spans="1:8" x14ac:dyDescent="0.25">
      <c r="A10" t="s">
        <v>194</v>
      </c>
      <c r="B10" t="s">
        <v>26</v>
      </c>
      <c r="C10">
        <v>2025</v>
      </c>
      <c r="D10" t="s">
        <v>6</v>
      </c>
      <c r="E10" t="s">
        <v>7</v>
      </c>
      <c r="F10" t="s">
        <v>27</v>
      </c>
      <c r="G10" t="s">
        <v>157</v>
      </c>
      <c r="H10" t="s">
        <v>159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17A54-A5F9-4EC1-B6B5-58E6A2BDAD23}">
  <dimension ref="A1:H9"/>
  <sheetViews>
    <sheetView workbookViewId="0">
      <selection activeCell="A5" sqref="A5"/>
    </sheetView>
  </sheetViews>
  <sheetFormatPr defaultRowHeight="15" x14ac:dyDescent="0.25"/>
  <cols>
    <col min="1" max="1" width="49.7109375" bestFit="1" customWidth="1"/>
    <col min="2" max="2" width="45.5703125" bestFit="1" customWidth="1"/>
    <col min="3" max="3" width="13.85546875" bestFit="1" customWidth="1"/>
    <col min="4" max="4" width="14" bestFit="1" customWidth="1"/>
    <col min="5" max="5" width="17.85546875" bestFit="1" customWidth="1"/>
    <col min="6" max="6" width="255.7109375" bestFit="1" customWidth="1"/>
    <col min="7" max="7" width="37.140625" bestFit="1" customWidth="1"/>
    <col min="8" max="8" width="29.7109375" bestFit="1" customWidth="1"/>
  </cols>
  <sheetData>
    <row r="1" spans="1:8" x14ac:dyDescent="0.25">
      <c r="A1" s="4" t="s">
        <v>202</v>
      </c>
    </row>
    <row r="3" spans="1:8" x14ac:dyDescent="0.25">
      <c r="A3" t="s">
        <v>151</v>
      </c>
      <c r="B3" t="s">
        <v>0</v>
      </c>
      <c r="C3" t="s">
        <v>1</v>
      </c>
      <c r="D3" t="s">
        <v>2</v>
      </c>
      <c r="E3" t="s">
        <v>3</v>
      </c>
      <c r="F3" t="s">
        <v>4</v>
      </c>
      <c r="G3" t="s">
        <v>162</v>
      </c>
      <c r="H3" t="s">
        <v>150</v>
      </c>
    </row>
    <row r="4" spans="1:8" x14ac:dyDescent="0.25">
      <c r="A4" t="s">
        <v>196</v>
      </c>
      <c r="B4" t="s">
        <v>104</v>
      </c>
      <c r="C4">
        <v>2025</v>
      </c>
      <c r="D4" t="s">
        <v>6</v>
      </c>
      <c r="E4" t="s">
        <v>7</v>
      </c>
      <c r="F4" t="s">
        <v>106</v>
      </c>
      <c r="G4" t="s">
        <v>156</v>
      </c>
      <c r="H4" t="s">
        <v>160</v>
      </c>
    </row>
    <row r="5" spans="1:8" x14ac:dyDescent="0.25">
      <c r="A5" t="s">
        <v>197</v>
      </c>
      <c r="B5" t="s">
        <v>104</v>
      </c>
      <c r="C5">
        <v>2024</v>
      </c>
      <c r="D5" t="s">
        <v>6</v>
      </c>
      <c r="E5" t="s">
        <v>7</v>
      </c>
      <c r="F5" t="s">
        <v>105</v>
      </c>
      <c r="G5" t="s">
        <v>156</v>
      </c>
      <c r="H5" t="s">
        <v>160</v>
      </c>
    </row>
    <row r="6" spans="1:8" x14ac:dyDescent="0.25">
      <c r="A6" t="s">
        <v>198</v>
      </c>
      <c r="B6" t="s">
        <v>93</v>
      </c>
      <c r="C6">
        <v>2024</v>
      </c>
      <c r="D6" t="s">
        <v>6</v>
      </c>
      <c r="E6" t="s">
        <v>7</v>
      </c>
      <c r="F6" t="s">
        <v>94</v>
      </c>
      <c r="G6" t="s">
        <v>156</v>
      </c>
      <c r="H6" t="s">
        <v>159</v>
      </c>
    </row>
    <row r="7" spans="1:8" x14ac:dyDescent="0.25">
      <c r="A7" t="s">
        <v>199</v>
      </c>
      <c r="B7" t="s">
        <v>81</v>
      </c>
      <c r="C7">
        <v>2024</v>
      </c>
      <c r="D7" t="s">
        <v>6</v>
      </c>
      <c r="E7" t="s">
        <v>7</v>
      </c>
      <c r="F7" t="s">
        <v>82</v>
      </c>
      <c r="G7" t="s">
        <v>156</v>
      </c>
      <c r="H7" t="s">
        <v>160</v>
      </c>
    </row>
    <row r="8" spans="1:8" x14ac:dyDescent="0.25">
      <c r="A8" t="s">
        <v>200</v>
      </c>
      <c r="B8" t="s">
        <v>79</v>
      </c>
      <c r="C8">
        <v>2025</v>
      </c>
      <c r="D8" t="s">
        <v>6</v>
      </c>
      <c r="E8" t="s">
        <v>10</v>
      </c>
      <c r="F8" t="s">
        <v>80</v>
      </c>
      <c r="G8" t="s">
        <v>156</v>
      </c>
      <c r="H8" t="s">
        <v>161</v>
      </c>
    </row>
    <row r="9" spans="1:8" x14ac:dyDescent="0.25">
      <c r="A9" t="s">
        <v>201</v>
      </c>
      <c r="B9" t="s">
        <v>52</v>
      </c>
      <c r="C9">
        <v>2024</v>
      </c>
      <c r="D9" t="s">
        <v>6</v>
      </c>
      <c r="E9" t="s">
        <v>7</v>
      </c>
      <c r="F9" t="s">
        <v>53</v>
      </c>
      <c r="G9" t="s">
        <v>156</v>
      </c>
      <c r="H9" t="s">
        <v>159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C24F3-5BA4-444F-8A6C-7CE2AE207F59}">
  <dimension ref="A1:H10"/>
  <sheetViews>
    <sheetView topLeftCell="F1" workbookViewId="0">
      <selection activeCell="F10" sqref="F10"/>
    </sheetView>
  </sheetViews>
  <sheetFormatPr defaultRowHeight="15" x14ac:dyDescent="0.25"/>
  <cols>
    <col min="1" max="1" width="42.140625" bestFit="1" customWidth="1"/>
    <col min="2" max="2" width="38" bestFit="1" customWidth="1"/>
    <col min="3" max="3" width="13.85546875" bestFit="1" customWidth="1"/>
    <col min="4" max="4" width="14" bestFit="1" customWidth="1"/>
    <col min="5" max="5" width="17.85546875" bestFit="1" customWidth="1"/>
    <col min="6" max="6" width="255.7109375" bestFit="1" customWidth="1"/>
    <col min="7" max="7" width="38.140625" bestFit="1" customWidth="1"/>
    <col min="8" max="8" width="35.5703125" bestFit="1" customWidth="1"/>
  </cols>
  <sheetData>
    <row r="1" spans="1:8" x14ac:dyDescent="0.25">
      <c r="A1" s="4" t="s">
        <v>195</v>
      </c>
    </row>
    <row r="3" spans="1:8" x14ac:dyDescent="0.25">
      <c r="A3" t="s">
        <v>151</v>
      </c>
      <c r="B3" t="s">
        <v>0</v>
      </c>
      <c r="C3" t="s">
        <v>1</v>
      </c>
      <c r="D3" t="s">
        <v>2</v>
      </c>
      <c r="E3" t="s">
        <v>3</v>
      </c>
      <c r="F3" t="s">
        <v>4</v>
      </c>
      <c r="G3" t="s">
        <v>162</v>
      </c>
      <c r="H3" t="s">
        <v>150</v>
      </c>
    </row>
    <row r="4" spans="1:8" x14ac:dyDescent="0.25">
      <c r="A4" t="s">
        <v>188</v>
      </c>
      <c r="B4" t="s">
        <v>125</v>
      </c>
      <c r="C4">
        <v>2025</v>
      </c>
      <c r="D4" t="s">
        <v>6</v>
      </c>
      <c r="E4" t="s">
        <v>10</v>
      </c>
      <c r="F4" t="s">
        <v>127</v>
      </c>
      <c r="G4" t="s">
        <v>157</v>
      </c>
      <c r="H4" t="s">
        <v>160</v>
      </c>
    </row>
    <row r="5" spans="1:8" x14ac:dyDescent="0.25">
      <c r="A5" t="s">
        <v>189</v>
      </c>
      <c r="B5" t="s">
        <v>98</v>
      </c>
      <c r="C5">
        <v>2024</v>
      </c>
      <c r="D5" t="s">
        <v>6</v>
      </c>
      <c r="E5" t="s">
        <v>10</v>
      </c>
      <c r="F5" t="s">
        <v>99</v>
      </c>
      <c r="G5" t="s">
        <v>157</v>
      </c>
      <c r="H5" t="s">
        <v>159</v>
      </c>
    </row>
    <row r="6" spans="1:8" x14ac:dyDescent="0.25">
      <c r="A6" t="s">
        <v>190</v>
      </c>
      <c r="B6" t="s">
        <v>46</v>
      </c>
      <c r="C6">
        <v>2025</v>
      </c>
      <c r="D6" t="s">
        <v>6</v>
      </c>
      <c r="E6" t="s">
        <v>7</v>
      </c>
      <c r="F6" t="s">
        <v>48</v>
      </c>
      <c r="G6" t="s">
        <v>157</v>
      </c>
      <c r="H6" t="s">
        <v>159</v>
      </c>
    </row>
    <row r="7" spans="1:8" x14ac:dyDescent="0.25">
      <c r="A7" t="s">
        <v>191</v>
      </c>
      <c r="B7" t="s">
        <v>37</v>
      </c>
      <c r="C7">
        <v>2025</v>
      </c>
      <c r="D7" t="s">
        <v>6</v>
      </c>
      <c r="E7" t="s">
        <v>7</v>
      </c>
      <c r="F7" t="s">
        <v>39</v>
      </c>
      <c r="G7" t="s">
        <v>157</v>
      </c>
      <c r="H7" t="s">
        <v>155</v>
      </c>
    </row>
    <row r="8" spans="1:8" x14ac:dyDescent="0.25">
      <c r="A8" t="s">
        <v>192</v>
      </c>
      <c r="B8" t="s">
        <v>37</v>
      </c>
      <c r="C8">
        <v>2024</v>
      </c>
      <c r="D8" t="s">
        <v>6</v>
      </c>
      <c r="E8" t="s">
        <v>10</v>
      </c>
      <c r="F8" t="s">
        <v>38</v>
      </c>
      <c r="G8" t="s">
        <v>157</v>
      </c>
      <c r="H8" t="s">
        <v>154</v>
      </c>
    </row>
    <row r="9" spans="1:8" x14ac:dyDescent="0.25">
      <c r="A9" t="s">
        <v>193</v>
      </c>
      <c r="B9" t="s">
        <v>33</v>
      </c>
      <c r="C9">
        <v>2024</v>
      </c>
      <c r="D9" t="s">
        <v>6</v>
      </c>
      <c r="E9" t="s">
        <v>7</v>
      </c>
      <c r="F9" t="s">
        <v>34</v>
      </c>
      <c r="G9" t="s">
        <v>157</v>
      </c>
      <c r="H9" t="s">
        <v>159</v>
      </c>
    </row>
    <row r="10" spans="1:8" x14ac:dyDescent="0.25">
      <c r="A10" t="s">
        <v>194</v>
      </c>
      <c r="B10" t="s">
        <v>26</v>
      </c>
      <c r="C10">
        <v>2025</v>
      </c>
      <c r="D10" t="s">
        <v>6</v>
      </c>
      <c r="E10" t="s">
        <v>7</v>
      </c>
      <c r="F10" t="s">
        <v>27</v>
      </c>
      <c r="G10" t="s">
        <v>157</v>
      </c>
      <c r="H10" t="s">
        <v>159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289B-A043-45D2-9468-4498FD7A0B99}">
  <dimension ref="A3:B10"/>
  <sheetViews>
    <sheetView workbookViewId="0">
      <selection activeCell="B7" sqref="B7"/>
    </sheetView>
  </sheetViews>
  <sheetFormatPr defaultRowHeight="15" x14ac:dyDescent="0.25"/>
  <cols>
    <col min="1" max="1" width="40.42578125" bestFit="1" customWidth="1"/>
    <col min="2" max="2" width="23.7109375" bestFit="1" customWidth="1"/>
  </cols>
  <sheetData>
    <row r="3" spans="1:2" x14ac:dyDescent="0.25">
      <c r="A3" s="1" t="s">
        <v>163</v>
      </c>
      <c r="B3" t="s">
        <v>165</v>
      </c>
    </row>
    <row r="4" spans="1:2" x14ac:dyDescent="0.25">
      <c r="A4" s="2" t="s">
        <v>156</v>
      </c>
      <c r="B4" s="3">
        <v>6</v>
      </c>
    </row>
    <row r="5" spans="1:2" x14ac:dyDescent="0.25">
      <c r="A5" s="2" t="s">
        <v>152</v>
      </c>
      <c r="B5" s="3">
        <v>4</v>
      </c>
    </row>
    <row r="6" spans="1:2" x14ac:dyDescent="0.25">
      <c r="A6" s="2" t="s">
        <v>158</v>
      </c>
      <c r="B6" s="3">
        <v>7</v>
      </c>
    </row>
    <row r="7" spans="1:2" x14ac:dyDescent="0.25">
      <c r="A7" s="2" t="s">
        <v>157</v>
      </c>
      <c r="B7" s="3">
        <v>7</v>
      </c>
    </row>
    <row r="8" spans="1:2" x14ac:dyDescent="0.25">
      <c r="A8" s="2" t="s">
        <v>154</v>
      </c>
      <c r="B8" s="3">
        <v>16</v>
      </c>
    </row>
    <row r="9" spans="1:2" x14ac:dyDescent="0.25">
      <c r="A9" s="2" t="s">
        <v>153</v>
      </c>
      <c r="B9" s="3">
        <v>48</v>
      </c>
    </row>
    <row r="10" spans="1:2" x14ac:dyDescent="0.25">
      <c r="A10" s="2" t="s">
        <v>164</v>
      </c>
      <c r="B10" s="3">
        <v>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E831-DBDA-45D3-A2D6-C255D52CFBE5}">
  <sheetPr filterMode="1"/>
  <dimension ref="A1:H89"/>
  <sheetViews>
    <sheetView tabSelected="1" workbookViewId="0">
      <selection activeCell="F9" sqref="F9"/>
    </sheetView>
  </sheetViews>
  <sheetFormatPr defaultRowHeight="15" x14ac:dyDescent="0.25"/>
  <cols>
    <col min="6" max="7" width="37.5703125" customWidth="1"/>
    <col min="8" max="8" width="40.42578125" bestFit="1" customWidth="1"/>
  </cols>
  <sheetData>
    <row r="1" spans="1:8" x14ac:dyDescent="0.25">
      <c r="A1" t="s">
        <v>151</v>
      </c>
      <c r="B1" t="s">
        <v>0</v>
      </c>
      <c r="C1" t="s">
        <v>1</v>
      </c>
      <c r="D1" t="s">
        <v>2</v>
      </c>
      <c r="E1" t="s">
        <v>3</v>
      </c>
      <c r="F1" t="s">
        <v>4</v>
      </c>
      <c r="G1" t="s">
        <v>162</v>
      </c>
      <c r="H1" t="s">
        <v>150</v>
      </c>
    </row>
    <row r="2" spans="1:8" x14ac:dyDescent="0.25">
      <c r="A2" t="str">
        <f>B2&amp;C2</f>
        <v>AA INSURANCE LIMITED2025</v>
      </c>
      <c r="B2" t="s">
        <v>5</v>
      </c>
      <c r="C2">
        <v>2025</v>
      </c>
      <c r="D2" t="s">
        <v>6</v>
      </c>
      <c r="E2" t="s">
        <v>7</v>
      </c>
      <c r="F2" t="s">
        <v>8</v>
      </c>
      <c r="G2" t="s">
        <v>152</v>
      </c>
      <c r="H2" t="s">
        <v>159</v>
      </c>
    </row>
    <row r="3" spans="1:8" x14ac:dyDescent="0.25">
      <c r="A3" t="str">
        <f t="shared" ref="A3:A66" si="0">B3&amp;C3</f>
        <v>AFT PHARMACEUTICALS LIMITED2024</v>
      </c>
      <c r="B3" t="s">
        <v>9</v>
      </c>
      <c r="C3">
        <v>2024</v>
      </c>
      <c r="D3" t="s">
        <v>6</v>
      </c>
      <c r="E3" t="s">
        <v>10</v>
      </c>
      <c r="F3" t="s">
        <v>11</v>
      </c>
      <c r="G3" t="s">
        <v>153</v>
      </c>
      <c r="H3" t="s">
        <v>159</v>
      </c>
    </row>
    <row r="4" spans="1:8" x14ac:dyDescent="0.25">
      <c r="A4" t="str">
        <f t="shared" si="0"/>
        <v>AFT PHARMACEUTICALS LIMITED2025</v>
      </c>
      <c r="B4" t="s">
        <v>9</v>
      </c>
      <c r="C4">
        <v>2025</v>
      </c>
      <c r="D4" t="s">
        <v>6</v>
      </c>
      <c r="E4" t="s">
        <v>10</v>
      </c>
      <c r="F4" t="s">
        <v>12</v>
      </c>
      <c r="G4" t="s">
        <v>153</v>
      </c>
      <c r="H4" t="s">
        <v>159</v>
      </c>
    </row>
    <row r="5" spans="1:8" x14ac:dyDescent="0.25">
      <c r="A5" t="str">
        <f t="shared" si="0"/>
        <v>AIA NEW ZEALAND LIMITED2023</v>
      </c>
      <c r="B5" t="s">
        <v>13</v>
      </c>
      <c r="C5">
        <v>2023</v>
      </c>
      <c r="D5" t="s">
        <v>6</v>
      </c>
      <c r="E5" t="s">
        <v>7</v>
      </c>
      <c r="F5" t="s">
        <v>14</v>
      </c>
      <c r="G5" t="s">
        <v>154</v>
      </c>
      <c r="H5" t="s">
        <v>159</v>
      </c>
    </row>
    <row r="6" spans="1:8" x14ac:dyDescent="0.25">
      <c r="A6" t="str">
        <f t="shared" si="0"/>
        <v>AIG INSURANCE NEW ZEALAND LIMITED2024</v>
      </c>
      <c r="B6" t="s">
        <v>15</v>
      </c>
      <c r="C6">
        <v>2024</v>
      </c>
      <c r="D6" t="s">
        <v>6</v>
      </c>
      <c r="E6" t="s">
        <v>10</v>
      </c>
      <c r="F6" t="s">
        <v>16</v>
      </c>
      <c r="G6" t="s">
        <v>154</v>
      </c>
      <c r="H6" t="s">
        <v>159</v>
      </c>
    </row>
    <row r="7" spans="1:8" hidden="1" x14ac:dyDescent="0.25">
      <c r="A7" t="str">
        <f t="shared" si="0"/>
        <v>ARGOSY PROPERTY LIMITED2024</v>
      </c>
      <c r="B7" t="s">
        <v>17</v>
      </c>
      <c r="C7">
        <v>2024</v>
      </c>
      <c r="D7" t="s">
        <v>6</v>
      </c>
      <c r="E7" t="s">
        <v>7</v>
      </c>
      <c r="F7" t="s">
        <v>18</v>
      </c>
      <c r="G7" t="s">
        <v>153</v>
      </c>
      <c r="H7" t="s">
        <v>160</v>
      </c>
    </row>
    <row r="8" spans="1:8" x14ac:dyDescent="0.25">
      <c r="A8" t="str">
        <f t="shared" si="0"/>
        <v>ARGOSY PROPERTY LIMITED2025</v>
      </c>
      <c r="B8" t="s">
        <v>17</v>
      </c>
      <c r="C8">
        <v>2025</v>
      </c>
      <c r="D8" t="s">
        <v>6</v>
      </c>
      <c r="E8" t="s">
        <v>7</v>
      </c>
      <c r="F8" t="s">
        <v>19</v>
      </c>
      <c r="G8" t="s">
        <v>153</v>
      </c>
      <c r="H8" t="s">
        <v>159</v>
      </c>
    </row>
    <row r="9" spans="1:8" x14ac:dyDescent="0.25">
      <c r="A9" t="str">
        <f t="shared" si="0"/>
        <v>ARVIDA GROUP LIMITED2024</v>
      </c>
      <c r="B9" t="s">
        <v>20</v>
      </c>
      <c r="C9">
        <v>2024</v>
      </c>
      <c r="D9" t="s">
        <v>6</v>
      </c>
      <c r="E9" t="s">
        <v>10</v>
      </c>
      <c r="F9" t="s">
        <v>21</v>
      </c>
      <c r="G9" t="s">
        <v>153</v>
      </c>
      <c r="H9" t="s">
        <v>159</v>
      </c>
    </row>
    <row r="10" spans="1:8" x14ac:dyDescent="0.25">
      <c r="A10" t="str">
        <f t="shared" si="0"/>
        <v>ARVIDA GROUP LIMITED2025</v>
      </c>
      <c r="B10" t="s">
        <v>20</v>
      </c>
      <c r="C10">
        <v>2025</v>
      </c>
      <c r="D10" t="s">
        <v>6</v>
      </c>
      <c r="E10" t="s">
        <v>7</v>
      </c>
      <c r="F10" t="s">
        <v>22</v>
      </c>
      <c r="G10" t="s">
        <v>154</v>
      </c>
      <c r="H10" t="s">
        <v>159</v>
      </c>
    </row>
    <row r="11" spans="1:8" x14ac:dyDescent="0.25">
      <c r="A11" t="str">
        <f t="shared" si="0"/>
        <v>ASTERON LIFE LIMITED2024</v>
      </c>
      <c r="B11" t="s">
        <v>23</v>
      </c>
      <c r="C11">
        <v>2024</v>
      </c>
      <c r="D11" t="s">
        <v>6</v>
      </c>
      <c r="E11" t="s">
        <v>7</v>
      </c>
      <c r="F11" t="s">
        <v>24</v>
      </c>
      <c r="G11" t="s">
        <v>153</v>
      </c>
      <c r="H11" t="s">
        <v>159</v>
      </c>
    </row>
    <row r="12" spans="1:8" x14ac:dyDescent="0.25">
      <c r="A12" t="str">
        <f t="shared" si="0"/>
        <v>ASTERON LIFE LIMITED2025</v>
      </c>
      <c r="B12" t="s">
        <v>23</v>
      </c>
      <c r="C12">
        <v>2025</v>
      </c>
      <c r="D12" t="s">
        <v>6</v>
      </c>
      <c r="E12" t="s">
        <v>7</v>
      </c>
      <c r="F12" t="s">
        <v>25</v>
      </c>
      <c r="G12" t="s">
        <v>153</v>
      </c>
      <c r="H12" t="s">
        <v>159</v>
      </c>
    </row>
    <row r="13" spans="1:8" x14ac:dyDescent="0.25">
      <c r="A13" t="str">
        <f t="shared" si="0"/>
        <v>AUCKLAND COUNCIL2025</v>
      </c>
      <c r="B13" t="s">
        <v>26</v>
      </c>
      <c r="C13">
        <v>2025</v>
      </c>
      <c r="D13" t="s">
        <v>6</v>
      </c>
      <c r="E13" t="s">
        <v>7</v>
      </c>
      <c r="F13" t="s">
        <v>27</v>
      </c>
      <c r="G13" t="s">
        <v>157</v>
      </c>
      <c r="H13" t="s">
        <v>159</v>
      </c>
    </row>
    <row r="14" spans="1:8" hidden="1" x14ac:dyDescent="0.25">
      <c r="A14" t="str">
        <f t="shared" si="0"/>
        <v>BANK OF NEW ZEALAND2024</v>
      </c>
      <c r="B14" t="s">
        <v>28</v>
      </c>
      <c r="C14">
        <v>2024</v>
      </c>
      <c r="D14" t="s">
        <v>6</v>
      </c>
      <c r="E14" t="s">
        <v>7</v>
      </c>
      <c r="F14" t="s">
        <v>29</v>
      </c>
      <c r="G14" t="s">
        <v>154</v>
      </c>
      <c r="H14" t="s">
        <v>160</v>
      </c>
    </row>
    <row r="15" spans="1:8" x14ac:dyDescent="0.25">
      <c r="A15" t="str">
        <f t="shared" si="0"/>
        <v>BRISCOE GROUP LIMITED2024</v>
      </c>
      <c r="B15" t="s">
        <v>30</v>
      </c>
      <c r="C15">
        <v>2024</v>
      </c>
      <c r="D15" t="s">
        <v>6</v>
      </c>
      <c r="E15" t="s">
        <v>10</v>
      </c>
      <c r="F15" t="s">
        <v>31</v>
      </c>
      <c r="G15" t="s">
        <v>153</v>
      </c>
      <c r="H15" t="s">
        <v>159</v>
      </c>
    </row>
    <row r="16" spans="1:8" x14ac:dyDescent="0.25">
      <c r="A16" t="str">
        <f t="shared" si="0"/>
        <v>BRISCOE GROUP LIMITED2025</v>
      </c>
      <c r="B16" t="s">
        <v>30</v>
      </c>
      <c r="C16">
        <v>2025</v>
      </c>
      <c r="D16" t="s">
        <v>6</v>
      </c>
      <c r="E16" t="s">
        <v>10</v>
      </c>
      <c r="F16" t="s">
        <v>32</v>
      </c>
      <c r="G16" t="s">
        <v>153</v>
      </c>
      <c r="H16" t="s">
        <v>159</v>
      </c>
    </row>
    <row r="17" spans="1:8" x14ac:dyDescent="0.25">
      <c r="A17" t="str">
        <f t="shared" si="0"/>
        <v>CDL INVESTMENTS NEW ZEALAND LIMITED2024</v>
      </c>
      <c r="B17" t="s">
        <v>33</v>
      </c>
      <c r="C17">
        <v>2024</v>
      </c>
      <c r="D17" t="s">
        <v>6</v>
      </c>
      <c r="E17" t="s">
        <v>7</v>
      </c>
      <c r="F17" t="s">
        <v>34</v>
      </c>
      <c r="G17" t="s">
        <v>157</v>
      </c>
      <c r="H17" t="s">
        <v>159</v>
      </c>
    </row>
    <row r="18" spans="1:8" hidden="1" x14ac:dyDescent="0.25">
      <c r="A18" t="str">
        <f t="shared" si="0"/>
        <v>CHINA CONSTRUCTION BANK (NEW ZEALAND) LIMITED2024</v>
      </c>
      <c r="B18" t="s">
        <v>35</v>
      </c>
      <c r="C18">
        <v>2024</v>
      </c>
      <c r="D18" t="s">
        <v>6</v>
      </c>
      <c r="E18" t="s">
        <v>7</v>
      </c>
      <c r="F18" t="s">
        <v>36</v>
      </c>
      <c r="G18" t="s">
        <v>153</v>
      </c>
    </row>
    <row r="19" spans="1:8" hidden="1" x14ac:dyDescent="0.25">
      <c r="A19" t="str">
        <f t="shared" si="0"/>
        <v>CHORUS LIMITED2024</v>
      </c>
      <c r="B19" t="s">
        <v>37</v>
      </c>
      <c r="C19">
        <v>2024</v>
      </c>
      <c r="D19" t="s">
        <v>6</v>
      </c>
      <c r="E19" t="s">
        <v>10</v>
      </c>
      <c r="F19" t="s">
        <v>38</v>
      </c>
      <c r="G19" t="s">
        <v>157</v>
      </c>
      <c r="H19" t="s">
        <v>154</v>
      </c>
    </row>
    <row r="20" spans="1:8" hidden="1" x14ac:dyDescent="0.25">
      <c r="A20" t="str">
        <f t="shared" si="0"/>
        <v>CHORUS LIMITED2025</v>
      </c>
      <c r="B20" t="s">
        <v>37</v>
      </c>
      <c r="C20">
        <v>2025</v>
      </c>
      <c r="D20" t="s">
        <v>6</v>
      </c>
      <c r="E20" t="s">
        <v>7</v>
      </c>
      <c r="F20" t="s">
        <v>39</v>
      </c>
      <c r="G20" t="s">
        <v>157</v>
      </c>
      <c r="H20" t="s">
        <v>155</v>
      </c>
    </row>
    <row r="21" spans="1:8" hidden="1" x14ac:dyDescent="0.25">
      <c r="A21" t="str">
        <f t="shared" si="0"/>
        <v>CHRISTCHURCH INTERNATIONAL AIRPORT LIMITED2024</v>
      </c>
      <c r="B21" t="s">
        <v>40</v>
      </c>
      <c r="C21">
        <v>2024</v>
      </c>
      <c r="D21" t="s">
        <v>6</v>
      </c>
      <c r="E21" t="s">
        <v>7</v>
      </c>
      <c r="F21" t="s">
        <v>41</v>
      </c>
      <c r="G21" t="s">
        <v>158</v>
      </c>
    </row>
    <row r="22" spans="1:8" hidden="1" x14ac:dyDescent="0.25">
      <c r="A22" t="str">
        <f t="shared" si="0"/>
        <v>CHRISTCHURCH INTERNATIONAL AIRPORT LIMITED2025</v>
      </c>
      <c r="B22" t="s">
        <v>40</v>
      </c>
      <c r="C22">
        <v>2025</v>
      </c>
      <c r="D22" t="s">
        <v>6</v>
      </c>
      <c r="E22" t="s">
        <v>7</v>
      </c>
      <c r="F22" t="s">
        <v>42</v>
      </c>
      <c r="G22" t="s">
        <v>158</v>
      </c>
    </row>
    <row r="23" spans="1:8" x14ac:dyDescent="0.25">
      <c r="A23" t="str">
        <f t="shared" si="0"/>
        <v>CHUBB LIFE INSURANCE NEW ZEALAND LIMITED2023</v>
      </c>
      <c r="B23" t="s">
        <v>43</v>
      </c>
      <c r="C23">
        <v>2023</v>
      </c>
      <c r="D23" t="s">
        <v>6</v>
      </c>
      <c r="E23" t="s">
        <v>10</v>
      </c>
      <c r="F23" t="s">
        <v>44</v>
      </c>
      <c r="G23" t="s">
        <v>153</v>
      </c>
      <c r="H23" t="s">
        <v>159</v>
      </c>
    </row>
    <row r="24" spans="1:8" x14ac:dyDescent="0.25">
      <c r="A24" t="str">
        <f t="shared" si="0"/>
        <v>CHUBB LIFE INSURANCE NEW ZEALAND LIMITED2024</v>
      </c>
      <c r="B24" t="s">
        <v>43</v>
      </c>
      <c r="C24">
        <v>2024</v>
      </c>
      <c r="D24" t="s">
        <v>6</v>
      </c>
      <c r="E24" t="s">
        <v>10</v>
      </c>
      <c r="F24" t="s">
        <v>45</v>
      </c>
      <c r="G24" t="s">
        <v>153</v>
      </c>
      <c r="H24" t="s">
        <v>159</v>
      </c>
    </row>
    <row r="25" spans="1:8" x14ac:dyDescent="0.25">
      <c r="A25" t="str">
        <f t="shared" si="0"/>
        <v>COMVITA LIMITED2024</v>
      </c>
      <c r="B25" t="s">
        <v>46</v>
      </c>
      <c r="C25">
        <v>2024</v>
      </c>
      <c r="D25" t="s">
        <v>6</v>
      </c>
      <c r="E25" t="s">
        <v>7</v>
      </c>
      <c r="F25" t="s">
        <v>47</v>
      </c>
      <c r="G25" t="s">
        <v>153</v>
      </c>
      <c r="H25" t="s">
        <v>159</v>
      </c>
    </row>
    <row r="26" spans="1:8" x14ac:dyDescent="0.25">
      <c r="A26" t="str">
        <f t="shared" si="0"/>
        <v>COMVITA LIMITED2025</v>
      </c>
      <c r="B26" t="s">
        <v>46</v>
      </c>
      <c r="C26">
        <v>2025</v>
      </c>
      <c r="D26" t="s">
        <v>6</v>
      </c>
      <c r="E26" t="s">
        <v>7</v>
      </c>
      <c r="F26" t="s">
        <v>48</v>
      </c>
      <c r="G26" t="s">
        <v>157</v>
      </c>
      <c r="H26" t="s">
        <v>159</v>
      </c>
    </row>
    <row r="27" spans="1:8" x14ac:dyDescent="0.25">
      <c r="A27" t="str">
        <f t="shared" si="0"/>
        <v>CONTACT ENERGY LIMITED2024</v>
      </c>
      <c r="B27" t="s">
        <v>49</v>
      </c>
      <c r="C27">
        <v>2024</v>
      </c>
      <c r="D27" t="s">
        <v>6</v>
      </c>
      <c r="E27" t="s">
        <v>7</v>
      </c>
      <c r="F27" t="s">
        <v>50</v>
      </c>
      <c r="G27" t="s">
        <v>154</v>
      </c>
      <c r="H27" t="s">
        <v>159</v>
      </c>
    </row>
    <row r="28" spans="1:8" x14ac:dyDescent="0.25">
      <c r="A28" t="str">
        <f t="shared" si="0"/>
        <v>CONTACT ENERGY LIMITED2025</v>
      </c>
      <c r="B28" t="s">
        <v>49</v>
      </c>
      <c r="C28">
        <v>2025</v>
      </c>
      <c r="D28" t="s">
        <v>6</v>
      </c>
      <c r="E28" t="s">
        <v>7</v>
      </c>
      <c r="F28" t="s">
        <v>51</v>
      </c>
      <c r="G28" t="s">
        <v>154</v>
      </c>
      <c r="H28" t="s">
        <v>159</v>
      </c>
    </row>
    <row r="29" spans="1:8" x14ac:dyDescent="0.25">
      <c r="A29" t="str">
        <f t="shared" si="0"/>
        <v>EROAD LIMITED2024</v>
      </c>
      <c r="B29" t="s">
        <v>52</v>
      </c>
      <c r="C29">
        <v>2024</v>
      </c>
      <c r="D29" t="s">
        <v>6</v>
      </c>
      <c r="E29" t="s">
        <v>7</v>
      </c>
      <c r="F29" t="s">
        <v>53</v>
      </c>
      <c r="G29" t="s">
        <v>156</v>
      </c>
      <c r="H29" t="s">
        <v>159</v>
      </c>
    </row>
    <row r="30" spans="1:8" x14ac:dyDescent="0.25">
      <c r="A30" t="str">
        <f t="shared" si="0"/>
        <v>EROAD LIMITED2025</v>
      </c>
      <c r="B30" t="s">
        <v>52</v>
      </c>
      <c r="C30">
        <v>2025</v>
      </c>
      <c r="D30" t="s">
        <v>6</v>
      </c>
      <c r="E30" t="s">
        <v>7</v>
      </c>
      <c r="F30" t="s">
        <v>54</v>
      </c>
      <c r="G30" t="s">
        <v>152</v>
      </c>
      <c r="H30" t="s">
        <v>159</v>
      </c>
    </row>
    <row r="31" spans="1:8" x14ac:dyDescent="0.25">
      <c r="A31" t="str">
        <f t="shared" si="0"/>
        <v>FIDELITY LIFE ASSURANCE COMPANY LIMITED2024</v>
      </c>
      <c r="B31" t="s">
        <v>55</v>
      </c>
      <c r="C31">
        <v>2024</v>
      </c>
      <c r="D31" t="s">
        <v>6</v>
      </c>
      <c r="E31" t="s">
        <v>7</v>
      </c>
      <c r="F31" t="s">
        <v>56</v>
      </c>
      <c r="G31" t="s">
        <v>153</v>
      </c>
      <c r="H31" t="s">
        <v>159</v>
      </c>
    </row>
    <row r="32" spans="1:8" hidden="1" x14ac:dyDescent="0.25">
      <c r="A32" t="str">
        <f t="shared" si="0"/>
        <v>FLETCHER BUILDING LIMITED2024</v>
      </c>
      <c r="B32" t="s">
        <v>57</v>
      </c>
      <c r="C32">
        <v>2024</v>
      </c>
      <c r="D32" t="s">
        <v>6</v>
      </c>
      <c r="E32" t="s">
        <v>10</v>
      </c>
      <c r="F32" t="s">
        <v>58</v>
      </c>
      <c r="G32" t="s">
        <v>153</v>
      </c>
      <c r="H32" t="s">
        <v>161</v>
      </c>
    </row>
    <row r="33" spans="1:8" x14ac:dyDescent="0.25">
      <c r="A33" t="str">
        <f t="shared" si="0"/>
        <v>FLETCHER BUILDING LIMITED2025</v>
      </c>
      <c r="B33" t="s">
        <v>57</v>
      </c>
      <c r="C33">
        <v>2025</v>
      </c>
      <c r="D33" t="s">
        <v>6</v>
      </c>
      <c r="E33" t="s">
        <v>10</v>
      </c>
      <c r="F33" t="s">
        <v>59</v>
      </c>
      <c r="G33" t="s">
        <v>153</v>
      </c>
      <c r="H33" t="s">
        <v>159</v>
      </c>
    </row>
    <row r="34" spans="1:8" x14ac:dyDescent="0.25">
      <c r="A34" t="str">
        <f t="shared" si="0"/>
        <v>FMG INSURANCE LIMITED2024</v>
      </c>
      <c r="B34" t="s">
        <v>60</v>
      </c>
      <c r="C34">
        <v>2024</v>
      </c>
      <c r="D34" t="s">
        <v>6</v>
      </c>
      <c r="E34" t="s">
        <v>7</v>
      </c>
      <c r="F34" t="s">
        <v>61</v>
      </c>
      <c r="G34" t="s">
        <v>153</v>
      </c>
      <c r="H34" t="s">
        <v>159</v>
      </c>
    </row>
    <row r="35" spans="1:8" x14ac:dyDescent="0.25">
      <c r="A35" t="str">
        <f t="shared" si="0"/>
        <v>FMG INSURANCE LIMITED2025</v>
      </c>
      <c r="B35" t="s">
        <v>60</v>
      </c>
      <c r="C35">
        <v>2025</v>
      </c>
      <c r="D35" t="s">
        <v>6</v>
      </c>
      <c r="E35" t="s">
        <v>7</v>
      </c>
      <c r="F35" t="s">
        <v>62</v>
      </c>
      <c r="G35" t="s">
        <v>152</v>
      </c>
      <c r="H35" t="s">
        <v>159</v>
      </c>
    </row>
    <row r="36" spans="1:8" hidden="1" x14ac:dyDescent="0.25">
      <c r="A36" t="str">
        <f t="shared" si="0"/>
        <v>FOLEY WINES LIMITED2024</v>
      </c>
      <c r="B36" t="s">
        <v>63</v>
      </c>
      <c r="C36">
        <v>2024</v>
      </c>
      <c r="D36" t="s">
        <v>6</v>
      </c>
      <c r="E36" t="s">
        <v>7</v>
      </c>
      <c r="F36" t="s">
        <v>64</v>
      </c>
      <c r="G36" t="s">
        <v>153</v>
      </c>
      <c r="H36" t="s">
        <v>161</v>
      </c>
    </row>
    <row r="37" spans="1:8" x14ac:dyDescent="0.25">
      <c r="A37" t="str">
        <f t="shared" si="0"/>
        <v>FREIGHTWAYS GROUP LIMITED2024</v>
      </c>
      <c r="B37" t="s">
        <v>65</v>
      </c>
      <c r="C37">
        <v>2024</v>
      </c>
      <c r="D37" t="s">
        <v>6</v>
      </c>
      <c r="E37" t="s">
        <v>7</v>
      </c>
      <c r="F37" t="s">
        <v>66</v>
      </c>
      <c r="G37" t="s">
        <v>153</v>
      </c>
      <c r="H37" t="s">
        <v>159</v>
      </c>
    </row>
    <row r="38" spans="1:8" x14ac:dyDescent="0.25">
      <c r="A38" t="str">
        <f t="shared" si="0"/>
        <v>FREIGHTWAYS GROUP LIMITED2025</v>
      </c>
      <c r="B38" t="s">
        <v>65</v>
      </c>
      <c r="C38">
        <v>2025</v>
      </c>
      <c r="D38" t="s">
        <v>6</v>
      </c>
      <c r="E38" t="s">
        <v>7</v>
      </c>
      <c r="F38" t="s">
        <v>67</v>
      </c>
      <c r="G38" t="s">
        <v>153</v>
      </c>
      <c r="H38" t="s">
        <v>159</v>
      </c>
    </row>
    <row r="39" spans="1:8" hidden="1" x14ac:dyDescent="0.25">
      <c r="A39" t="str">
        <f t="shared" si="0"/>
        <v>HALLENSTEIN GLASSON HOLDINGS LIMITED2024</v>
      </c>
      <c r="B39" t="s">
        <v>68</v>
      </c>
      <c r="C39">
        <v>2024</v>
      </c>
      <c r="D39" t="s">
        <v>6</v>
      </c>
      <c r="E39" t="s">
        <v>7</v>
      </c>
      <c r="F39" t="s">
        <v>69</v>
      </c>
      <c r="G39" t="s">
        <v>154</v>
      </c>
      <c r="H39" t="s">
        <v>160</v>
      </c>
    </row>
    <row r="40" spans="1:8" x14ac:dyDescent="0.25">
      <c r="A40" t="str">
        <f t="shared" si="0"/>
        <v>IAG NEW ZEALAND LIMITED2024</v>
      </c>
      <c r="B40" t="s">
        <v>70</v>
      </c>
      <c r="C40">
        <v>2024</v>
      </c>
      <c r="D40" t="s">
        <v>6</v>
      </c>
      <c r="E40" t="s">
        <v>7</v>
      </c>
      <c r="F40" t="s">
        <v>71</v>
      </c>
      <c r="G40" t="s">
        <v>153</v>
      </c>
      <c r="H40" t="s">
        <v>159</v>
      </c>
    </row>
    <row r="41" spans="1:8" x14ac:dyDescent="0.25">
      <c r="A41" t="str">
        <f t="shared" si="0"/>
        <v>IAG NEW ZEALAND LIMITED2025</v>
      </c>
      <c r="B41" t="s">
        <v>70</v>
      </c>
      <c r="C41">
        <v>2025</v>
      </c>
      <c r="D41" t="s">
        <v>6</v>
      </c>
      <c r="E41" t="s">
        <v>7</v>
      </c>
      <c r="F41" t="s">
        <v>72</v>
      </c>
      <c r="G41" t="s">
        <v>154</v>
      </c>
      <c r="H41" t="s">
        <v>159</v>
      </c>
    </row>
    <row r="42" spans="1:8" x14ac:dyDescent="0.25">
      <c r="A42" t="str">
        <f t="shared" si="0"/>
        <v>INVESTORE PROPERTY LIMITED2024</v>
      </c>
      <c r="B42" t="s">
        <v>73</v>
      </c>
      <c r="C42">
        <v>2024</v>
      </c>
      <c r="D42" t="s">
        <v>6</v>
      </c>
      <c r="E42" t="s">
        <v>10</v>
      </c>
      <c r="F42" t="s">
        <v>74</v>
      </c>
      <c r="G42" t="s">
        <v>153</v>
      </c>
      <c r="H42" t="s">
        <v>159</v>
      </c>
    </row>
    <row r="43" spans="1:8" x14ac:dyDescent="0.25">
      <c r="A43" t="str">
        <f t="shared" si="0"/>
        <v>INVESTORE PROPERTY LIMITED2025</v>
      </c>
      <c r="B43" t="s">
        <v>73</v>
      </c>
      <c r="C43">
        <v>2025</v>
      </c>
      <c r="D43" t="s">
        <v>6</v>
      </c>
      <c r="E43" t="s">
        <v>10</v>
      </c>
      <c r="F43" t="s">
        <v>75</v>
      </c>
      <c r="G43" t="s">
        <v>153</v>
      </c>
      <c r="H43" t="s">
        <v>159</v>
      </c>
    </row>
    <row r="44" spans="1:8" x14ac:dyDescent="0.25">
      <c r="A44" t="str">
        <f t="shared" si="0"/>
        <v>KIWI PROPERTY GROUP LIMITED2024</v>
      </c>
      <c r="B44" t="s">
        <v>76</v>
      </c>
      <c r="C44">
        <v>2024</v>
      </c>
      <c r="D44" t="s">
        <v>6</v>
      </c>
      <c r="E44" t="s">
        <v>10</v>
      </c>
      <c r="F44" t="s">
        <v>77</v>
      </c>
      <c r="G44" t="s">
        <v>153</v>
      </c>
      <c r="H44" t="s">
        <v>159</v>
      </c>
    </row>
    <row r="45" spans="1:8" x14ac:dyDescent="0.25">
      <c r="A45" t="str">
        <f t="shared" si="0"/>
        <v>KIWI PROPERTY GROUP LIMITED2025</v>
      </c>
      <c r="B45" t="s">
        <v>76</v>
      </c>
      <c r="C45">
        <v>2025</v>
      </c>
      <c r="D45" t="s">
        <v>6</v>
      </c>
      <c r="E45" t="s">
        <v>10</v>
      </c>
      <c r="F45" t="s">
        <v>78</v>
      </c>
      <c r="G45" t="s">
        <v>153</v>
      </c>
      <c r="H45" t="s">
        <v>159</v>
      </c>
    </row>
    <row r="46" spans="1:8" hidden="1" x14ac:dyDescent="0.25">
      <c r="A46" t="str">
        <f t="shared" si="0"/>
        <v>LIVESTOCK IMPROVEMENT CORPORATION LIMITED2025</v>
      </c>
      <c r="B46" t="s">
        <v>79</v>
      </c>
      <c r="C46">
        <v>2025</v>
      </c>
      <c r="D46" t="s">
        <v>6</v>
      </c>
      <c r="E46" t="s">
        <v>10</v>
      </c>
      <c r="F46" t="s">
        <v>80</v>
      </c>
      <c r="G46" t="s">
        <v>156</v>
      </c>
      <c r="H46" t="s">
        <v>161</v>
      </c>
    </row>
    <row r="47" spans="1:8" hidden="1" x14ac:dyDescent="0.25">
      <c r="A47" t="str">
        <f t="shared" si="0"/>
        <v>MERCURY NZ LIMITED2024</v>
      </c>
      <c r="B47" t="s">
        <v>81</v>
      </c>
      <c r="C47">
        <v>2024</v>
      </c>
      <c r="D47" t="s">
        <v>6</v>
      </c>
      <c r="E47" t="s">
        <v>7</v>
      </c>
      <c r="F47" t="s">
        <v>82</v>
      </c>
      <c r="G47" t="s">
        <v>156</v>
      </c>
      <c r="H47" t="s">
        <v>160</v>
      </c>
    </row>
    <row r="48" spans="1:8" hidden="1" x14ac:dyDescent="0.25">
      <c r="A48" t="str">
        <f t="shared" si="0"/>
        <v>MERCURY NZ LIMITED2025</v>
      </c>
      <c r="B48" t="s">
        <v>81</v>
      </c>
      <c r="C48">
        <v>2025</v>
      </c>
      <c r="D48" t="s">
        <v>6</v>
      </c>
      <c r="E48" t="s">
        <v>7</v>
      </c>
      <c r="F48" t="s">
        <v>83</v>
      </c>
      <c r="G48" t="s">
        <v>152</v>
      </c>
      <c r="H48" t="s">
        <v>160</v>
      </c>
    </row>
    <row r="49" spans="1:8" x14ac:dyDescent="0.25">
      <c r="A49" t="str">
        <f t="shared" si="0"/>
        <v>METLIFECARE LIMITED2024</v>
      </c>
      <c r="B49" t="s">
        <v>84</v>
      </c>
      <c r="C49">
        <v>2024</v>
      </c>
      <c r="D49" t="s">
        <v>6</v>
      </c>
      <c r="E49" t="s">
        <v>10</v>
      </c>
      <c r="F49" t="s">
        <v>85</v>
      </c>
      <c r="G49" t="s">
        <v>154</v>
      </c>
      <c r="H49" t="s">
        <v>159</v>
      </c>
    </row>
    <row r="50" spans="1:8" x14ac:dyDescent="0.25">
      <c r="A50" t="str">
        <f t="shared" si="0"/>
        <v>METLIFECARE LIMITED2025</v>
      </c>
      <c r="B50" t="s">
        <v>84</v>
      </c>
      <c r="C50">
        <v>2025</v>
      </c>
      <c r="D50" t="s">
        <v>6</v>
      </c>
      <c r="E50" t="s">
        <v>10</v>
      </c>
      <c r="F50" t="s">
        <v>86</v>
      </c>
      <c r="G50" t="s">
        <v>154</v>
      </c>
      <c r="H50" t="s">
        <v>159</v>
      </c>
    </row>
    <row r="51" spans="1:8" x14ac:dyDescent="0.25">
      <c r="A51" t="str">
        <f t="shared" si="0"/>
        <v>MOVE LOGISTICS GROUP LIMITED2025</v>
      </c>
      <c r="B51" t="s">
        <v>87</v>
      </c>
      <c r="C51">
        <v>2025</v>
      </c>
      <c r="D51" t="s">
        <v>6</v>
      </c>
      <c r="E51" t="s">
        <v>7</v>
      </c>
      <c r="F51" t="s">
        <v>88</v>
      </c>
      <c r="G51" t="s">
        <v>158</v>
      </c>
      <c r="H51" t="s">
        <v>159</v>
      </c>
    </row>
    <row r="52" spans="1:8" x14ac:dyDescent="0.25">
      <c r="A52" t="str">
        <f t="shared" si="0"/>
        <v>NELSON BUILDING SOCIETY2025</v>
      </c>
      <c r="B52" t="s">
        <v>89</v>
      </c>
      <c r="C52">
        <v>2025</v>
      </c>
      <c r="D52" t="s">
        <v>6</v>
      </c>
      <c r="E52" t="s">
        <v>7</v>
      </c>
      <c r="F52" t="s">
        <v>90</v>
      </c>
      <c r="G52" t="s">
        <v>158</v>
      </c>
      <c r="H52" t="s">
        <v>159</v>
      </c>
    </row>
    <row r="53" spans="1:8" hidden="1" x14ac:dyDescent="0.25">
      <c r="A53" t="str">
        <f t="shared" si="0"/>
        <v>NEW ZEALAND KING SALMON INVESTMENTS LIMITED2025</v>
      </c>
      <c r="B53" t="s">
        <v>91</v>
      </c>
      <c r="C53">
        <v>2025</v>
      </c>
      <c r="D53" t="s">
        <v>6</v>
      </c>
      <c r="E53" t="s">
        <v>10</v>
      </c>
      <c r="F53" t="s">
        <v>92</v>
      </c>
      <c r="G53" t="s">
        <v>153</v>
      </c>
      <c r="H53" t="e">
        <v>#N/A</v>
      </c>
    </row>
    <row r="54" spans="1:8" x14ac:dyDescent="0.25">
      <c r="A54" t="str">
        <f t="shared" si="0"/>
        <v>NIB NZ LIMITED2024</v>
      </c>
      <c r="B54" t="s">
        <v>93</v>
      </c>
      <c r="C54">
        <v>2024</v>
      </c>
      <c r="D54" t="s">
        <v>6</v>
      </c>
      <c r="E54" t="s">
        <v>7</v>
      </c>
      <c r="F54" t="s">
        <v>94</v>
      </c>
      <c r="G54" t="s">
        <v>156</v>
      </c>
      <c r="H54" t="s">
        <v>159</v>
      </c>
    </row>
    <row r="55" spans="1:8" hidden="1" x14ac:dyDescent="0.25">
      <c r="A55" t="str">
        <f t="shared" si="0"/>
        <v>OCEANIA HEALTHCARE LIMITED2024</v>
      </c>
      <c r="B55" t="s">
        <v>95</v>
      </c>
      <c r="C55">
        <v>2024</v>
      </c>
      <c r="D55" t="s">
        <v>6</v>
      </c>
      <c r="E55" t="s">
        <v>10</v>
      </c>
      <c r="F55" t="s">
        <v>96</v>
      </c>
      <c r="G55" t="s">
        <v>154</v>
      </c>
      <c r="H55" t="s">
        <v>161</v>
      </c>
    </row>
    <row r="56" spans="1:8" x14ac:dyDescent="0.25">
      <c r="A56" t="str">
        <f t="shared" si="0"/>
        <v>OCEANIA HEALTHCARE LIMITED2025</v>
      </c>
      <c r="B56" t="s">
        <v>95</v>
      </c>
      <c r="C56">
        <v>2025</v>
      </c>
      <c r="D56" t="s">
        <v>6</v>
      </c>
      <c r="E56" t="s">
        <v>10</v>
      </c>
      <c r="F56" t="s">
        <v>97</v>
      </c>
      <c r="G56" t="s">
        <v>154</v>
      </c>
      <c r="H56" t="s">
        <v>159</v>
      </c>
    </row>
    <row r="57" spans="1:8" x14ac:dyDescent="0.25">
      <c r="A57" t="str">
        <f t="shared" si="0"/>
        <v>PARTNERS LIFE LIMITED2024</v>
      </c>
      <c r="B57" t="s">
        <v>98</v>
      </c>
      <c r="C57">
        <v>2024</v>
      </c>
      <c r="D57" t="s">
        <v>6</v>
      </c>
      <c r="E57" t="s">
        <v>10</v>
      </c>
      <c r="F57" t="s">
        <v>99</v>
      </c>
      <c r="G57" t="s">
        <v>157</v>
      </c>
      <c r="H57" t="s">
        <v>159</v>
      </c>
    </row>
    <row r="58" spans="1:8" x14ac:dyDescent="0.25">
      <c r="A58" t="str">
        <f t="shared" si="0"/>
        <v>PARTNERS LIFE LIMITED2025</v>
      </c>
      <c r="B58" t="s">
        <v>98</v>
      </c>
      <c r="C58">
        <v>2025</v>
      </c>
      <c r="D58" t="s">
        <v>6</v>
      </c>
      <c r="E58" t="s">
        <v>7</v>
      </c>
      <c r="F58" t="s">
        <v>100</v>
      </c>
      <c r="G58" t="s">
        <v>158</v>
      </c>
      <c r="H58" t="s">
        <v>159</v>
      </c>
    </row>
    <row r="59" spans="1:8" x14ac:dyDescent="0.25">
      <c r="A59" t="str">
        <f t="shared" si="0"/>
        <v>PGG WRIGHTSON LIMITED2024</v>
      </c>
      <c r="B59" t="s">
        <v>101</v>
      </c>
      <c r="C59">
        <v>2024</v>
      </c>
      <c r="D59" t="s">
        <v>6</v>
      </c>
      <c r="E59" t="s">
        <v>7</v>
      </c>
      <c r="F59" t="s">
        <v>102</v>
      </c>
      <c r="G59" t="s">
        <v>153</v>
      </c>
      <c r="H59" t="s">
        <v>159</v>
      </c>
    </row>
    <row r="60" spans="1:8" x14ac:dyDescent="0.25">
      <c r="A60" t="str">
        <f t="shared" si="0"/>
        <v>PGG WRIGHTSON LIMITED2025</v>
      </c>
      <c r="B60" t="s">
        <v>101</v>
      </c>
      <c r="C60">
        <v>2025</v>
      </c>
      <c r="D60" t="s">
        <v>6</v>
      </c>
      <c r="E60" t="s">
        <v>10</v>
      </c>
      <c r="F60" t="s">
        <v>103</v>
      </c>
      <c r="G60" t="s">
        <v>153</v>
      </c>
      <c r="H60" t="s">
        <v>159</v>
      </c>
    </row>
    <row r="61" spans="1:8" hidden="1" x14ac:dyDescent="0.25">
      <c r="A61" t="str">
        <f t="shared" si="0"/>
        <v>PORT OF TAURANGA LIMITED2024</v>
      </c>
      <c r="B61" t="s">
        <v>104</v>
      </c>
      <c r="C61">
        <v>2024</v>
      </c>
      <c r="D61" t="s">
        <v>6</v>
      </c>
      <c r="E61" t="s">
        <v>7</v>
      </c>
      <c r="F61" t="s">
        <v>105</v>
      </c>
      <c r="G61" t="s">
        <v>156</v>
      </c>
      <c r="H61" t="s">
        <v>160</v>
      </c>
    </row>
    <row r="62" spans="1:8" hidden="1" x14ac:dyDescent="0.25">
      <c r="A62" t="str">
        <f t="shared" si="0"/>
        <v>PORT OF TAURANGA LIMITED2025</v>
      </c>
      <c r="B62" t="s">
        <v>104</v>
      </c>
      <c r="C62">
        <v>2025</v>
      </c>
      <c r="D62" t="s">
        <v>6</v>
      </c>
      <c r="E62" t="s">
        <v>7</v>
      </c>
      <c r="F62" t="s">
        <v>106</v>
      </c>
      <c r="G62" t="s">
        <v>156</v>
      </c>
      <c r="H62" t="s">
        <v>160</v>
      </c>
    </row>
    <row r="63" spans="1:8" hidden="1" x14ac:dyDescent="0.25">
      <c r="A63" t="str">
        <f t="shared" si="0"/>
        <v>PRECINCT PROPERTIES NEW ZEALAND LIMITED2024</v>
      </c>
      <c r="B63" t="s">
        <v>107</v>
      </c>
      <c r="C63">
        <v>2024</v>
      </c>
      <c r="D63" t="s">
        <v>6</v>
      </c>
      <c r="E63" t="s">
        <v>10</v>
      </c>
      <c r="F63" t="s">
        <v>108</v>
      </c>
      <c r="G63" t="s">
        <v>153</v>
      </c>
      <c r="H63" t="s">
        <v>161</v>
      </c>
    </row>
    <row r="64" spans="1:8" x14ac:dyDescent="0.25">
      <c r="A64" t="str">
        <f t="shared" si="0"/>
        <v>PRECINCT PROPERTIES NEW ZEALAND LIMITED2025</v>
      </c>
      <c r="B64" t="s">
        <v>107</v>
      </c>
      <c r="C64">
        <v>2025</v>
      </c>
      <c r="D64" t="s">
        <v>6</v>
      </c>
      <c r="E64" t="s">
        <v>7</v>
      </c>
      <c r="F64" t="s">
        <v>109</v>
      </c>
      <c r="G64" t="s">
        <v>153</v>
      </c>
      <c r="H64" t="s">
        <v>159</v>
      </c>
    </row>
    <row r="65" spans="1:8" hidden="1" x14ac:dyDescent="0.25">
      <c r="A65" t="str">
        <f t="shared" si="0"/>
        <v>PROPERTY FOR INDUSTRY LIMITED2023</v>
      </c>
      <c r="B65" t="s">
        <v>110</v>
      </c>
      <c r="C65">
        <v>2023</v>
      </c>
      <c r="D65" t="s">
        <v>6</v>
      </c>
      <c r="E65" t="s">
        <v>7</v>
      </c>
      <c r="F65" t="s">
        <v>111</v>
      </c>
      <c r="G65" t="s">
        <v>153</v>
      </c>
      <c r="H65" t="s">
        <v>160</v>
      </c>
    </row>
    <row r="66" spans="1:8" x14ac:dyDescent="0.25">
      <c r="A66" t="str">
        <f t="shared" si="0"/>
        <v>PROPERTY FOR INDUSTRY LIMITED2025</v>
      </c>
      <c r="B66" t="s">
        <v>110</v>
      </c>
      <c r="C66">
        <v>2025</v>
      </c>
      <c r="D66" t="s">
        <v>6</v>
      </c>
      <c r="E66" t="s">
        <v>10</v>
      </c>
      <c r="F66" t="s">
        <v>111</v>
      </c>
      <c r="G66" t="s">
        <v>153</v>
      </c>
      <c r="H66" t="s">
        <v>159</v>
      </c>
    </row>
    <row r="67" spans="1:8" x14ac:dyDescent="0.25">
      <c r="A67" t="str">
        <f t="shared" ref="A67:A89" si="1">B67&amp;C67</f>
        <v>RADIUS RESIDENTIAL CARE LIMITED2024</v>
      </c>
      <c r="B67" t="s">
        <v>112</v>
      </c>
      <c r="C67">
        <v>2024</v>
      </c>
      <c r="D67" t="s">
        <v>6</v>
      </c>
      <c r="E67" t="s">
        <v>10</v>
      </c>
      <c r="F67" t="s">
        <v>113</v>
      </c>
      <c r="G67" t="s">
        <v>153</v>
      </c>
      <c r="H67" t="s">
        <v>159</v>
      </c>
    </row>
    <row r="68" spans="1:8" x14ac:dyDescent="0.25">
      <c r="A68" t="str">
        <f t="shared" si="1"/>
        <v>RADIUS RESIDENTIAL CARE LIMITED2025</v>
      </c>
      <c r="B68" t="s">
        <v>112</v>
      </c>
      <c r="C68">
        <v>2025</v>
      </c>
      <c r="D68" t="s">
        <v>6</v>
      </c>
      <c r="E68" t="s">
        <v>10</v>
      </c>
      <c r="F68" t="s">
        <v>114</v>
      </c>
      <c r="G68" t="s">
        <v>153</v>
      </c>
      <c r="H68" t="s">
        <v>159</v>
      </c>
    </row>
    <row r="69" spans="1:8" x14ac:dyDescent="0.25">
      <c r="A69" t="str">
        <f t="shared" si="1"/>
        <v>RESTAURANT BRANDS NEW ZEALAND LIMITED2023</v>
      </c>
      <c r="B69" t="s">
        <v>115</v>
      </c>
      <c r="C69">
        <v>2023</v>
      </c>
      <c r="D69" t="s">
        <v>6</v>
      </c>
      <c r="E69" t="s">
        <v>7</v>
      </c>
      <c r="F69" t="s">
        <v>116</v>
      </c>
      <c r="G69" t="s">
        <v>153</v>
      </c>
      <c r="H69" t="s">
        <v>159</v>
      </c>
    </row>
    <row r="70" spans="1:8" x14ac:dyDescent="0.25">
      <c r="A70" t="str">
        <f t="shared" si="1"/>
        <v>SCALES CORPORATION LIMITED2023</v>
      </c>
      <c r="B70" t="s">
        <v>117</v>
      </c>
      <c r="C70">
        <v>2023</v>
      </c>
      <c r="D70" t="s">
        <v>6</v>
      </c>
      <c r="E70" t="s">
        <v>7</v>
      </c>
      <c r="F70" t="s">
        <v>118</v>
      </c>
      <c r="G70" t="s">
        <v>153</v>
      </c>
      <c r="H70" t="s">
        <v>159</v>
      </c>
    </row>
    <row r="71" spans="1:8" x14ac:dyDescent="0.25">
      <c r="A71" t="str">
        <f t="shared" si="1"/>
        <v>SMARTPAY HOLDINGS LIMITED2024</v>
      </c>
      <c r="B71" t="s">
        <v>119</v>
      </c>
      <c r="C71">
        <v>2024</v>
      </c>
      <c r="D71" t="s">
        <v>6</v>
      </c>
      <c r="E71" t="s">
        <v>10</v>
      </c>
      <c r="F71" t="s">
        <v>120</v>
      </c>
      <c r="G71" t="s">
        <v>153</v>
      </c>
      <c r="H71" t="s">
        <v>159</v>
      </c>
    </row>
    <row r="72" spans="1:8" x14ac:dyDescent="0.25">
      <c r="A72" t="str">
        <f t="shared" si="1"/>
        <v>SMARTPAY HOLDINGS LIMITED2025</v>
      </c>
      <c r="B72" t="s">
        <v>119</v>
      </c>
      <c r="C72">
        <v>2025</v>
      </c>
      <c r="D72" t="s">
        <v>6</v>
      </c>
      <c r="E72" t="s">
        <v>10</v>
      </c>
      <c r="F72" t="s">
        <v>121</v>
      </c>
      <c r="G72" t="s">
        <v>153</v>
      </c>
      <c r="H72" t="s">
        <v>159</v>
      </c>
    </row>
    <row r="73" spans="1:8" x14ac:dyDescent="0.25">
      <c r="A73" t="str">
        <f t="shared" si="1"/>
        <v>SOUTHERN CROSS MEDICAL CARE SOCIETY2024</v>
      </c>
      <c r="B73" t="s">
        <v>122</v>
      </c>
      <c r="C73">
        <v>2024</v>
      </c>
      <c r="D73" t="s">
        <v>6</v>
      </c>
      <c r="E73" t="s">
        <v>7</v>
      </c>
      <c r="F73" t="s">
        <v>123</v>
      </c>
      <c r="G73" t="s">
        <v>154</v>
      </c>
      <c r="H73" t="s">
        <v>159</v>
      </c>
    </row>
    <row r="74" spans="1:8" x14ac:dyDescent="0.25">
      <c r="A74" t="str">
        <f t="shared" si="1"/>
        <v>SOUTHERN CROSS MEDICAL CARE SOCIETY2025</v>
      </c>
      <c r="B74" t="s">
        <v>122</v>
      </c>
      <c r="C74">
        <v>2025</v>
      </c>
      <c r="D74" t="s">
        <v>6</v>
      </c>
      <c r="E74" t="s">
        <v>10</v>
      </c>
      <c r="F74" t="s">
        <v>124</v>
      </c>
      <c r="G74" t="s">
        <v>158</v>
      </c>
      <c r="H74" t="s">
        <v>159</v>
      </c>
    </row>
    <row r="75" spans="1:8" x14ac:dyDescent="0.25">
      <c r="A75" t="str">
        <f t="shared" si="1"/>
        <v>SPARK NEW ZEALAND LIMITED2024</v>
      </c>
      <c r="B75" t="s">
        <v>125</v>
      </c>
      <c r="C75">
        <v>2024</v>
      </c>
      <c r="D75" t="s">
        <v>6</v>
      </c>
      <c r="E75" t="s">
        <v>10</v>
      </c>
      <c r="F75" t="s">
        <v>126</v>
      </c>
      <c r="G75" t="s">
        <v>153</v>
      </c>
      <c r="H75" t="s">
        <v>159</v>
      </c>
    </row>
    <row r="76" spans="1:8" hidden="1" x14ac:dyDescent="0.25">
      <c r="A76" t="str">
        <f t="shared" si="1"/>
        <v>SPARK NEW ZEALAND LIMITED2025</v>
      </c>
      <c r="B76" t="s">
        <v>125</v>
      </c>
      <c r="C76">
        <v>2025</v>
      </c>
      <c r="D76" t="s">
        <v>6</v>
      </c>
      <c r="E76" t="s">
        <v>10</v>
      </c>
      <c r="F76" t="s">
        <v>127</v>
      </c>
      <c r="G76" t="s">
        <v>157</v>
      </c>
      <c r="H76" t="s">
        <v>160</v>
      </c>
    </row>
    <row r="77" spans="1:8" x14ac:dyDescent="0.25">
      <c r="A77" t="str">
        <f t="shared" si="1"/>
        <v>STRIDE INVESTMENT MANAGEMENT LIMITED2024</v>
      </c>
      <c r="B77" t="s">
        <v>128</v>
      </c>
      <c r="C77">
        <v>2024</v>
      </c>
      <c r="D77" t="s">
        <v>6</v>
      </c>
      <c r="E77" t="s">
        <v>10</v>
      </c>
      <c r="F77" t="s">
        <v>129</v>
      </c>
      <c r="G77" t="s">
        <v>153</v>
      </c>
      <c r="H77" t="s">
        <v>159</v>
      </c>
    </row>
    <row r="78" spans="1:8" x14ac:dyDescent="0.25">
      <c r="A78" t="str">
        <f t="shared" si="1"/>
        <v>STRIDE INVESTMENT MANAGEMENT LIMITED2025</v>
      </c>
      <c r="B78" t="s">
        <v>128</v>
      </c>
      <c r="C78">
        <v>2025</v>
      </c>
      <c r="D78" t="s">
        <v>6</v>
      </c>
      <c r="E78" t="s">
        <v>10</v>
      </c>
      <c r="F78" t="s">
        <v>130</v>
      </c>
      <c r="G78" t="s">
        <v>153</v>
      </c>
      <c r="H78" t="s">
        <v>159</v>
      </c>
    </row>
    <row r="79" spans="1:8" x14ac:dyDescent="0.25">
      <c r="A79" t="str">
        <f t="shared" si="1"/>
        <v>SUMMERSET GROUP HOLDINGS LIMITED2023</v>
      </c>
      <c r="B79" t="s">
        <v>131</v>
      </c>
      <c r="C79">
        <v>2023</v>
      </c>
      <c r="D79" t="s">
        <v>6</v>
      </c>
      <c r="E79" t="s">
        <v>10</v>
      </c>
      <c r="F79" t="s">
        <v>132</v>
      </c>
      <c r="G79" t="s">
        <v>154</v>
      </c>
      <c r="H79" t="s">
        <v>159</v>
      </c>
    </row>
    <row r="80" spans="1:8" hidden="1" x14ac:dyDescent="0.25">
      <c r="A80" t="str">
        <f t="shared" si="1"/>
        <v>SUMMERSET GROUP HOLDINGS LIMITED2024</v>
      </c>
      <c r="B80" t="s">
        <v>131</v>
      </c>
      <c r="C80">
        <v>2024</v>
      </c>
      <c r="D80" t="s">
        <v>6</v>
      </c>
      <c r="E80" t="s">
        <v>10</v>
      </c>
      <c r="F80" t="s">
        <v>133</v>
      </c>
      <c r="G80" t="s">
        <v>153</v>
      </c>
      <c r="H80" t="s">
        <v>161</v>
      </c>
    </row>
    <row r="81" spans="1:8" x14ac:dyDescent="0.25">
      <c r="A81" t="str">
        <f t="shared" si="1"/>
        <v>SYNLAIT MILK LIMITED2024</v>
      </c>
      <c r="B81" t="s">
        <v>134</v>
      </c>
      <c r="C81">
        <v>2024</v>
      </c>
      <c r="D81" t="s">
        <v>6</v>
      </c>
      <c r="E81" t="s">
        <v>7</v>
      </c>
      <c r="F81" t="s">
        <v>135</v>
      </c>
      <c r="G81" t="s">
        <v>158</v>
      </c>
      <c r="H81" t="s">
        <v>159</v>
      </c>
    </row>
    <row r="82" spans="1:8" hidden="1" x14ac:dyDescent="0.25">
      <c r="A82" t="str">
        <f t="shared" si="1"/>
        <v>T&amp;G GLOBAL LIMITED2023</v>
      </c>
      <c r="B82" t="s">
        <v>136</v>
      </c>
      <c r="C82">
        <v>2023</v>
      </c>
      <c r="D82" t="s">
        <v>6</v>
      </c>
      <c r="E82" t="s">
        <v>10</v>
      </c>
      <c r="F82" t="s">
        <v>137</v>
      </c>
      <c r="G82" t="s">
        <v>153</v>
      </c>
      <c r="H82" t="s">
        <v>161</v>
      </c>
    </row>
    <row r="83" spans="1:8" hidden="1" x14ac:dyDescent="0.25">
      <c r="A83" t="str">
        <f t="shared" si="1"/>
        <v>T&amp;G GLOBAL LIMITED2024</v>
      </c>
      <c r="B83" t="s">
        <v>136</v>
      </c>
      <c r="C83">
        <v>2024</v>
      </c>
      <c r="D83" t="s">
        <v>6</v>
      </c>
      <c r="E83" t="s">
        <v>10</v>
      </c>
      <c r="F83" t="s">
        <v>138</v>
      </c>
      <c r="G83" t="s">
        <v>153</v>
      </c>
      <c r="H83" t="s">
        <v>161</v>
      </c>
    </row>
    <row r="84" spans="1:8" x14ac:dyDescent="0.25">
      <c r="A84" t="str">
        <f t="shared" si="1"/>
        <v>THE CO-OPERATIVE BANK LIMITED2024</v>
      </c>
      <c r="B84" t="s">
        <v>139</v>
      </c>
      <c r="C84">
        <v>2024</v>
      </c>
      <c r="D84" t="s">
        <v>6</v>
      </c>
      <c r="E84" t="s">
        <v>10</v>
      </c>
      <c r="F84" t="s">
        <v>140</v>
      </c>
      <c r="G84" t="s">
        <v>153</v>
      </c>
      <c r="H84" t="s">
        <v>159</v>
      </c>
    </row>
    <row r="85" spans="1:8" x14ac:dyDescent="0.25">
      <c r="A85" t="str">
        <f t="shared" si="1"/>
        <v>THE WAREHOUSE GROUP LIMITED2024</v>
      </c>
      <c r="B85" t="s">
        <v>141</v>
      </c>
      <c r="C85">
        <v>2024</v>
      </c>
      <c r="D85" t="s">
        <v>6</v>
      </c>
      <c r="E85" t="s">
        <v>7</v>
      </c>
      <c r="F85" t="s">
        <v>142</v>
      </c>
      <c r="G85" t="s">
        <v>154</v>
      </c>
      <c r="H85" t="s">
        <v>159</v>
      </c>
    </row>
    <row r="86" spans="1:8" x14ac:dyDescent="0.25">
      <c r="A86" t="str">
        <f t="shared" si="1"/>
        <v>TOURISM HOLDINGS LIMITED2024</v>
      </c>
      <c r="B86" t="s">
        <v>143</v>
      </c>
      <c r="C86">
        <v>2024</v>
      </c>
      <c r="D86" t="s">
        <v>6</v>
      </c>
      <c r="E86" t="s">
        <v>10</v>
      </c>
      <c r="F86" t="s">
        <v>144</v>
      </c>
      <c r="G86" t="s">
        <v>153</v>
      </c>
      <c r="H86" t="s">
        <v>159</v>
      </c>
    </row>
    <row r="87" spans="1:8" x14ac:dyDescent="0.25">
      <c r="A87" t="str">
        <f t="shared" si="1"/>
        <v>TOURISM HOLDINGS LIMITED2025</v>
      </c>
      <c r="B87" t="s">
        <v>143</v>
      </c>
      <c r="C87">
        <v>2025</v>
      </c>
      <c r="D87" t="s">
        <v>6</v>
      </c>
      <c r="E87" t="s">
        <v>7</v>
      </c>
      <c r="F87" t="s">
        <v>145</v>
      </c>
      <c r="G87" t="s">
        <v>153</v>
      </c>
      <c r="H87" t="s">
        <v>159</v>
      </c>
    </row>
    <row r="88" spans="1:8" x14ac:dyDescent="0.25">
      <c r="A88" t="str">
        <f t="shared" si="1"/>
        <v>TOWER LIMITED2024</v>
      </c>
      <c r="B88" t="s">
        <v>146</v>
      </c>
      <c r="C88">
        <v>2024</v>
      </c>
      <c r="D88" t="s">
        <v>6</v>
      </c>
      <c r="E88" t="s">
        <v>10</v>
      </c>
      <c r="F88" t="s">
        <v>147</v>
      </c>
      <c r="G88" t="s">
        <v>154</v>
      </c>
      <c r="H88" t="s">
        <v>159</v>
      </c>
    </row>
    <row r="89" spans="1:8" hidden="1" x14ac:dyDescent="0.25">
      <c r="A89" t="str">
        <f t="shared" si="1"/>
        <v>WINTON LAND LIMITED2024</v>
      </c>
      <c r="B89" t="s">
        <v>148</v>
      </c>
      <c r="C89">
        <v>2024</v>
      </c>
      <c r="D89" t="s">
        <v>6</v>
      </c>
      <c r="E89" t="s">
        <v>7</v>
      </c>
      <c r="F89" t="s">
        <v>149</v>
      </c>
      <c r="G89" t="s">
        <v>153</v>
      </c>
      <c r="H89" t="s">
        <v>160</v>
      </c>
    </row>
  </sheetData>
  <autoFilter ref="A1:H89" xr:uid="{E501E831-DBDA-45D3-A2D6-C255D52CFBE5}">
    <filterColumn colId="7">
      <filters>
        <filter val="Strong co-design/co-productio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Detail1</vt:lpstr>
      <vt:lpstr>Detail2</vt:lpstr>
      <vt:lpstr>Detail3</vt:lpstr>
      <vt:lpstr>Detail4</vt:lpstr>
      <vt:lpstr>Detail5</vt:lpstr>
      <vt:lpstr>Summary</vt:lpstr>
      <vt:lpstr>Table_Q6_coproduced_yes_evidenc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Quyen Nguyen</dc:creator>
  <cp:lastModifiedBy>Quyen Nguyen</cp:lastModifiedBy>
  <dcterms:created xsi:type="dcterms:W3CDTF">2026-10-05T03:23:37Z</dcterms:created>
  <dcterms:modified xsi:type="dcterms:W3CDTF">2026-10-05T03:45:09Z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2026-10-05T03:27:04Z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f8c50276-a201-408e-a8b4-aa496e2a26cf</vt:lpwstr>
  </property>
  <property fmtid="{D5CDD505-2E9C-101B-9397-08002B2CF9AE}" pid="7" name="MSIP_Label_defa4170-0d19-0005-0004-bc88714345d2_ActionId">
    <vt:lpwstr>60184abc-5956-455c-b1b1-53743eb650cf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