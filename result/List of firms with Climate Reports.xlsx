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nsnz-my.sharepoint.com/personal/q_nguyen_gns_cri_nz/Documents/Offline_work/2_GNS/5_Climate risk disclosure/result/"/>
    </mc:Choice>
  </mc:AlternateContent>
  <xr:revisionPtr revIDLastSave="15" documentId="13_ncr:1_{36EE7CBE-38C0-4C0A-BD56-D42AD499E62C}" xr6:coauthVersionLast="47" xr6:coauthVersionMax="47" xr10:uidLastSave="{43574DBB-3E10-4847-BFCB-1F82735285F4}"/>
  <bookViews>
    <workbookView xWindow="-28920" yWindow="-120" windowWidth="29040" windowHeight="15720" activeTab="4" xr2:uid="{00000000-000D-0000-FFFF-FFFF00000000}"/>
  </bookViews>
  <sheets>
    <sheet name="summary" sheetId="2" r:id="rId1"/>
    <sheet name="20April" sheetId="1" state="hidden" r:id="rId2"/>
    <sheet name="1.master_list_7May" sheetId="4" r:id="rId3"/>
    <sheet name="2.masterfirm" sheetId="9" r:id="rId4"/>
    <sheet name="3.simple_text_analysis" sheetId="6" r:id="rId5"/>
    <sheet name="Sheet2" sheetId="14" r:id="rId6"/>
    <sheet name="Sheet1" sheetId="13" r:id="rId7"/>
    <sheet name="4.pdf_list" sheetId="12" r:id="rId8"/>
  </sheets>
  <definedNames>
    <definedName name="_xlnm._FilterDatabase" localSheetId="2" hidden="1">'1.master_list_7May'!$A$1:$K$259</definedName>
    <definedName name="_xlnm._FilterDatabase" localSheetId="3" hidden="1">'2.masterfirm'!$A$1:$J$161</definedName>
    <definedName name="_xlnm._FilterDatabase" localSheetId="1" hidden="1">'20April'!$A$1:$J$255</definedName>
    <definedName name="_xlnm._FilterDatabase" localSheetId="4" hidden="1">'3.simple_text_analysis'!$A$1:$P$40</definedName>
    <definedName name="_xlnm._FilterDatabase" localSheetId="7" hidden="1">'4.pdf_list'!$A$1:$H$40</definedName>
    <definedName name="_xlnm._FilterDatabase" localSheetId="0" hidden="1">summary!$A$18:$D$37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2" l="1"/>
  <c r="E25" i="2"/>
  <c r="E24" i="2"/>
  <c r="C67" i="2"/>
  <c r="D67" i="2" s="1"/>
  <c r="C66" i="2"/>
  <c r="E66" i="2" s="1"/>
  <c r="C65" i="2"/>
  <c r="D65" i="2" s="1"/>
  <c r="B46" i="2"/>
  <c r="B45" i="2"/>
  <c r="B44" i="2"/>
  <c r="B43" i="2"/>
  <c r="E43" i="2" s="1"/>
  <c r="B42" i="2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M2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E19" i="2"/>
  <c r="E31" i="2"/>
  <c r="E33" i="2"/>
  <c r="E34" i="2"/>
  <c r="E32" i="2"/>
  <c r="E30" i="2"/>
  <c r="E29" i="2"/>
  <c r="E28" i="2"/>
  <c r="E36" i="2"/>
  <c r="E35" i="2"/>
  <c r="E27" i="2"/>
  <c r="E45" i="2" s="1"/>
  <c r="E26" i="2"/>
  <c r="E44" i="2" s="1"/>
  <c r="E23" i="2"/>
  <c r="E22" i="2"/>
  <c r="E20" i="2"/>
  <c r="E21" i="2"/>
  <c r="I161" i="9"/>
  <c r="I160" i="9"/>
  <c r="I159" i="9"/>
  <c r="H158" i="9"/>
  <c r="I158" i="9" s="1"/>
  <c r="I157" i="9"/>
  <c r="I156" i="9"/>
  <c r="I155" i="9"/>
  <c r="I154" i="9"/>
  <c r="I153" i="9"/>
  <c r="H152" i="9"/>
  <c r="I152" i="9" s="1"/>
  <c r="H151" i="9"/>
  <c r="I151" i="9" s="1"/>
  <c r="I150" i="9"/>
  <c r="I149" i="9"/>
  <c r="I148" i="9"/>
  <c r="I147" i="9"/>
  <c r="H146" i="9"/>
  <c r="I146" i="9" s="1"/>
  <c r="I145" i="9"/>
  <c r="I144" i="9"/>
  <c r="I143" i="9"/>
  <c r="H142" i="9"/>
  <c r="I142" i="9" s="1"/>
  <c r="I141" i="9"/>
  <c r="I140" i="9"/>
  <c r="I139" i="9"/>
  <c r="H138" i="9"/>
  <c r="I138" i="9" s="1"/>
  <c r="H137" i="9"/>
  <c r="I137" i="9" s="1"/>
  <c r="I136" i="9"/>
  <c r="I135" i="9"/>
  <c r="I134" i="9"/>
  <c r="H133" i="9"/>
  <c r="I133" i="9" s="1"/>
  <c r="I132" i="9"/>
  <c r="I131" i="9"/>
  <c r="H130" i="9"/>
  <c r="I130" i="9" s="1"/>
  <c r="H129" i="9"/>
  <c r="I129" i="9" s="1"/>
  <c r="I128" i="9"/>
  <c r="I127" i="9"/>
  <c r="I126" i="9"/>
  <c r="H125" i="9"/>
  <c r="I125" i="9" s="1"/>
  <c r="H124" i="9"/>
  <c r="I124" i="9" s="1"/>
  <c r="I123" i="9"/>
  <c r="I122" i="9"/>
  <c r="I121" i="9"/>
  <c r="H120" i="9"/>
  <c r="I120" i="9" s="1"/>
  <c r="I119" i="9"/>
  <c r="I118" i="9"/>
  <c r="H117" i="9"/>
  <c r="I117" i="9" s="1"/>
  <c r="H116" i="9"/>
  <c r="I116" i="9" s="1"/>
  <c r="I115" i="9"/>
  <c r="I114" i="9"/>
  <c r="I113" i="9"/>
  <c r="I112" i="9"/>
  <c r="I111" i="9"/>
  <c r="I110" i="9"/>
  <c r="H109" i="9"/>
  <c r="I109" i="9" s="1"/>
  <c r="I108" i="9"/>
  <c r="H107" i="9"/>
  <c r="I107" i="9" s="1"/>
  <c r="H106" i="9"/>
  <c r="I106" i="9" s="1"/>
  <c r="H105" i="9"/>
  <c r="I105" i="9" s="1"/>
  <c r="I104" i="9"/>
  <c r="I103" i="9"/>
  <c r="I102" i="9"/>
  <c r="H101" i="9"/>
  <c r="I101" i="9" s="1"/>
  <c r="I100" i="9"/>
  <c r="I99" i="9"/>
  <c r="I98" i="9"/>
  <c r="I97" i="9"/>
  <c r="H96" i="9"/>
  <c r="I96" i="9" s="1"/>
  <c r="H95" i="9"/>
  <c r="I95" i="9" s="1"/>
  <c r="H94" i="9"/>
  <c r="I94" i="9" s="1"/>
  <c r="H93" i="9"/>
  <c r="I93" i="9" s="1"/>
  <c r="I92" i="9"/>
  <c r="I91" i="9"/>
  <c r="H90" i="9"/>
  <c r="I90" i="9" s="1"/>
  <c r="I89" i="9"/>
  <c r="I88" i="9"/>
  <c r="I87" i="9"/>
  <c r="I86" i="9"/>
  <c r="H85" i="9"/>
  <c r="I85" i="9" s="1"/>
  <c r="H84" i="9"/>
  <c r="I84" i="9" s="1"/>
  <c r="I83" i="9"/>
  <c r="I82" i="9"/>
  <c r="H81" i="9"/>
  <c r="I81" i="9" s="1"/>
  <c r="H80" i="9"/>
  <c r="I80" i="9" s="1"/>
  <c r="I79" i="9"/>
  <c r="I78" i="9"/>
  <c r="I77" i="9"/>
  <c r="H76" i="9"/>
  <c r="I76" i="9" s="1"/>
  <c r="H75" i="9"/>
  <c r="I75" i="9" s="1"/>
  <c r="H74" i="9"/>
  <c r="I74" i="9" s="1"/>
  <c r="H73" i="9"/>
  <c r="I73" i="9" s="1"/>
  <c r="H72" i="9"/>
  <c r="I72" i="9" s="1"/>
  <c r="H71" i="9"/>
  <c r="I71" i="9" s="1"/>
  <c r="I70" i="9"/>
  <c r="H69" i="9"/>
  <c r="I69" i="9" s="1"/>
  <c r="I68" i="9"/>
  <c r="I67" i="9"/>
  <c r="H66" i="9"/>
  <c r="I66" i="9" s="1"/>
  <c r="I65" i="9"/>
  <c r="I64" i="9"/>
  <c r="I63" i="9"/>
  <c r="I62" i="9"/>
  <c r="I61" i="9"/>
  <c r="H60" i="9"/>
  <c r="I60" i="9" s="1"/>
  <c r="H59" i="9"/>
  <c r="I59" i="9" s="1"/>
  <c r="H58" i="9"/>
  <c r="I58" i="9" s="1"/>
  <c r="I57" i="9"/>
  <c r="I56" i="9"/>
  <c r="H55" i="9"/>
  <c r="I55" i="9" s="1"/>
  <c r="H54" i="9"/>
  <c r="I54" i="9" s="1"/>
  <c r="I53" i="9"/>
  <c r="I52" i="9"/>
  <c r="I51" i="9"/>
  <c r="H50" i="9"/>
  <c r="I50" i="9" s="1"/>
  <c r="I49" i="9"/>
  <c r="I48" i="9"/>
  <c r="H47" i="9"/>
  <c r="I47" i="9" s="1"/>
  <c r="H46" i="9"/>
  <c r="I46" i="9" s="1"/>
  <c r="H45" i="9"/>
  <c r="I45" i="9" s="1"/>
  <c r="I44" i="9"/>
  <c r="H43" i="9"/>
  <c r="I43" i="9" s="1"/>
  <c r="H42" i="9"/>
  <c r="I42" i="9" s="1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H27" i="9"/>
  <c r="I27" i="9" s="1"/>
  <c r="I26" i="9"/>
  <c r="H25" i="9"/>
  <c r="I25" i="9" s="1"/>
  <c r="I24" i="9"/>
  <c r="H23" i="9"/>
  <c r="I23" i="9" s="1"/>
  <c r="H22" i="9"/>
  <c r="I22" i="9" s="1"/>
  <c r="I21" i="9"/>
  <c r="H20" i="9"/>
  <c r="I20" i="9" s="1"/>
  <c r="I19" i="9"/>
  <c r="I18" i="9"/>
  <c r="I17" i="9"/>
  <c r="I16" i="9"/>
  <c r="I15" i="9"/>
  <c r="H14" i="9"/>
  <c r="I14" i="9" s="1"/>
  <c r="H13" i="9"/>
  <c r="I13" i="9" s="1"/>
  <c r="I12" i="9"/>
  <c r="H11" i="9"/>
  <c r="I11" i="9" s="1"/>
  <c r="H10" i="9"/>
  <c r="I10" i="9" s="1"/>
  <c r="H9" i="9"/>
  <c r="I9" i="9" s="1"/>
  <c r="H8" i="9"/>
  <c r="I8" i="9" s="1"/>
  <c r="H7" i="9"/>
  <c r="I7" i="9" s="1"/>
  <c r="H6" i="9"/>
  <c r="I6" i="9" s="1"/>
  <c r="I5" i="9"/>
  <c r="I4" i="9"/>
  <c r="H3" i="9"/>
  <c r="I3" i="9" s="1"/>
  <c r="I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O35" i="6"/>
  <c r="O18" i="6"/>
  <c r="O16" i="6"/>
  <c r="O3" i="6"/>
  <c r="K228" i="4"/>
  <c r="K227" i="4"/>
  <c r="K226" i="4"/>
  <c r="K225" i="4"/>
  <c r="K224" i="4"/>
  <c r="K223" i="4"/>
  <c r="K222" i="4"/>
  <c r="K221" i="4"/>
  <c r="K220" i="4"/>
  <c r="K219" i="4"/>
  <c r="K214" i="4"/>
  <c r="K213" i="4"/>
  <c r="K197" i="4"/>
  <c r="K196" i="4"/>
  <c r="K189" i="4"/>
  <c r="K188" i="4"/>
  <c r="K187" i="4"/>
  <c r="K181" i="4"/>
  <c r="K180" i="4"/>
  <c r="K179" i="4"/>
  <c r="K178" i="4"/>
  <c r="K173" i="4"/>
  <c r="K172" i="4"/>
  <c r="K167" i="4"/>
  <c r="K166" i="4"/>
  <c r="K165" i="4"/>
  <c r="K164" i="4"/>
  <c r="K163" i="4"/>
  <c r="K162" i="4"/>
  <c r="K161" i="4"/>
  <c r="K160" i="4"/>
  <c r="K159" i="4"/>
  <c r="K151" i="4"/>
  <c r="K150" i="4"/>
  <c r="K149" i="4"/>
  <c r="K135" i="4"/>
  <c r="K134" i="4"/>
  <c r="K132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98" i="4"/>
  <c r="K97" i="4"/>
  <c r="K96" i="4"/>
  <c r="K95" i="4"/>
  <c r="K94" i="4"/>
  <c r="K93" i="4"/>
  <c r="K92" i="4"/>
  <c r="K90" i="4"/>
  <c r="K89" i="4"/>
  <c r="K66" i="4"/>
  <c r="K65" i="4"/>
  <c r="K64" i="4"/>
  <c r="K63" i="4"/>
  <c r="K62" i="4"/>
  <c r="K71" i="4"/>
  <c r="K61" i="4"/>
  <c r="K70" i="4"/>
  <c r="K60" i="4"/>
  <c r="K59" i="4"/>
  <c r="K58" i="4"/>
  <c r="K57" i="4"/>
  <c r="K56" i="4"/>
  <c r="K69" i="4"/>
  <c r="K55" i="4"/>
  <c r="K54" i="4"/>
  <c r="K53" i="4"/>
  <c r="K52" i="4"/>
  <c r="K68" i="4"/>
  <c r="K51" i="4"/>
  <c r="K50" i="4"/>
  <c r="K67" i="4"/>
  <c r="K49" i="4"/>
  <c r="K48" i="4"/>
  <c r="K46" i="4"/>
  <c r="K45" i="4"/>
  <c r="K44" i="4"/>
  <c r="K43" i="4"/>
  <c r="K41" i="4"/>
  <c r="K40" i="4"/>
  <c r="K39" i="4"/>
  <c r="K38" i="4"/>
  <c r="K37" i="4"/>
  <c r="K36" i="4"/>
  <c r="K35" i="4"/>
  <c r="K34" i="4"/>
  <c r="K33" i="4"/>
  <c r="O9" i="6" s="1"/>
  <c r="K24" i="4"/>
  <c r="K23" i="4"/>
  <c r="K17" i="4"/>
  <c r="K16" i="4"/>
  <c r="K15" i="4"/>
  <c r="K18" i="4"/>
  <c r="K14" i="4"/>
  <c r="O5" i="6" s="1"/>
  <c r="K13" i="4"/>
  <c r="K12" i="4"/>
  <c r="K11" i="4"/>
  <c r="K10" i="4"/>
  <c r="K9" i="4"/>
  <c r="K8" i="4"/>
  <c r="K7" i="4"/>
  <c r="K6" i="4"/>
  <c r="K259" i="4"/>
  <c r="O40" i="6" s="1"/>
  <c r="K258" i="4"/>
  <c r="K257" i="4"/>
  <c r="K256" i="4"/>
  <c r="K255" i="4"/>
  <c r="K254" i="4"/>
  <c r="O39" i="6" s="1"/>
  <c r="K253" i="4"/>
  <c r="K252" i="4"/>
  <c r="O38" i="6" s="1"/>
  <c r="K251" i="4"/>
  <c r="K250" i="4"/>
  <c r="O37" i="6" s="1"/>
  <c r="K249" i="4"/>
  <c r="K248" i="4"/>
  <c r="K247" i="4"/>
  <c r="K246" i="4"/>
  <c r="O24" i="6" s="1"/>
  <c r="K245" i="4"/>
  <c r="K244" i="4"/>
  <c r="K243" i="4"/>
  <c r="K242" i="4"/>
  <c r="K241" i="4"/>
  <c r="K240" i="4"/>
  <c r="K239" i="4"/>
  <c r="K238" i="4"/>
  <c r="K237" i="4"/>
  <c r="O36" i="6" s="1"/>
  <c r="K236" i="4"/>
  <c r="K235" i="4"/>
  <c r="K234" i="4"/>
  <c r="K233" i="4"/>
  <c r="K232" i="4"/>
  <c r="K231" i="4"/>
  <c r="K230" i="4"/>
  <c r="K229" i="4"/>
  <c r="K218" i="4"/>
  <c r="K217" i="4"/>
  <c r="K216" i="4"/>
  <c r="K215" i="4"/>
  <c r="K212" i="4"/>
  <c r="K211" i="4"/>
  <c r="O34" i="6" s="1"/>
  <c r="K210" i="4"/>
  <c r="O33" i="6" s="1"/>
  <c r="K209" i="4"/>
  <c r="K208" i="4"/>
  <c r="K207" i="4"/>
  <c r="O30" i="6" s="1"/>
  <c r="K206" i="4"/>
  <c r="O17" i="6" s="1"/>
  <c r="K205" i="4"/>
  <c r="K204" i="4"/>
  <c r="K203" i="4"/>
  <c r="O29" i="6" s="1"/>
  <c r="K202" i="4"/>
  <c r="K201" i="4"/>
  <c r="O27" i="6" s="1"/>
  <c r="K200" i="4"/>
  <c r="O2" i="6" s="1"/>
  <c r="K199" i="4"/>
  <c r="K198" i="4"/>
  <c r="K195" i="4"/>
  <c r="K194" i="4"/>
  <c r="K193" i="4"/>
  <c r="K192" i="4"/>
  <c r="K191" i="4"/>
  <c r="O26" i="6" s="1"/>
  <c r="K190" i="4"/>
  <c r="O25" i="6" s="1"/>
  <c r="K186" i="4"/>
  <c r="K185" i="4"/>
  <c r="O23" i="6" s="1"/>
  <c r="K184" i="4"/>
  <c r="K183" i="4"/>
  <c r="K182" i="4"/>
  <c r="K177" i="4"/>
  <c r="K176" i="4"/>
  <c r="K175" i="4"/>
  <c r="K174" i="4"/>
  <c r="O22" i="6" s="1"/>
  <c r="K171" i="4"/>
  <c r="K170" i="4"/>
  <c r="K169" i="4"/>
  <c r="K168" i="4"/>
  <c r="K158" i="4"/>
  <c r="K157" i="4"/>
  <c r="K156" i="4"/>
  <c r="K155" i="4"/>
  <c r="K154" i="4"/>
  <c r="K153" i="4"/>
  <c r="K152" i="4"/>
  <c r="O21" i="6" s="1"/>
  <c r="K148" i="4"/>
  <c r="K147" i="4"/>
  <c r="K146" i="4"/>
  <c r="K145" i="4"/>
  <c r="K144" i="4"/>
  <c r="K143" i="4"/>
  <c r="K142" i="4"/>
  <c r="O19" i="6" s="1"/>
  <c r="K141" i="4"/>
  <c r="O20" i="6" s="1"/>
  <c r="K140" i="4"/>
  <c r="K139" i="4"/>
  <c r="K138" i="4"/>
  <c r="K137" i="4"/>
  <c r="K136" i="4"/>
  <c r="K133" i="4"/>
  <c r="K131" i="4"/>
  <c r="K130" i="4"/>
  <c r="K129" i="4"/>
  <c r="K104" i="4"/>
  <c r="K103" i="4"/>
  <c r="K102" i="4"/>
  <c r="K101" i="4"/>
  <c r="K100" i="4"/>
  <c r="K99" i="4"/>
  <c r="K91" i="4"/>
  <c r="K88" i="4"/>
  <c r="K87" i="4"/>
  <c r="K86" i="4"/>
  <c r="K85" i="4"/>
  <c r="K84" i="4"/>
  <c r="K83" i="4"/>
  <c r="K82" i="4"/>
  <c r="K81" i="4"/>
  <c r="K80" i="4"/>
  <c r="K79" i="4"/>
  <c r="O15" i="6" s="1"/>
  <c r="K78" i="4"/>
  <c r="O14" i="6" s="1"/>
  <c r="K77" i="4"/>
  <c r="K76" i="4"/>
  <c r="K75" i="4"/>
  <c r="K74" i="4"/>
  <c r="K73" i="4"/>
  <c r="O12" i="6" s="1"/>
  <c r="K72" i="4"/>
  <c r="O31" i="6" s="1"/>
  <c r="K47" i="4"/>
  <c r="O13" i="6" s="1"/>
  <c r="K42" i="4"/>
  <c r="O10" i="6" s="1"/>
  <c r="K32" i="4"/>
  <c r="K31" i="4"/>
  <c r="K30" i="4"/>
  <c r="O8" i="6" s="1"/>
  <c r="K29" i="4"/>
  <c r="K28" i="4"/>
  <c r="K27" i="4"/>
  <c r="K26" i="4"/>
  <c r="K25" i="4"/>
  <c r="K22" i="4"/>
  <c r="O6" i="6" s="1"/>
  <c r="K21" i="4"/>
  <c r="K20" i="4"/>
  <c r="K19" i="4"/>
  <c r="K5" i="4"/>
  <c r="K4" i="4"/>
  <c r="O4" i="6" s="1"/>
  <c r="K3" i="4"/>
  <c r="K2" i="4"/>
  <c r="C68" i="2" l="1"/>
  <c r="G65" i="2" s="1"/>
  <c r="O7" i="6"/>
  <c r="O11" i="6"/>
  <c r="O28" i="6"/>
  <c r="O32" i="6"/>
  <c r="E37" i="2"/>
  <c r="D24" i="2"/>
  <c r="F24" i="2" s="1"/>
  <c r="D25" i="2"/>
  <c r="F25" i="2" s="1"/>
  <c r="D32" i="2"/>
  <c r="C32" i="2" s="1"/>
  <c r="D43" i="2"/>
  <c r="C43" i="2" s="1"/>
  <c r="C102" i="2"/>
  <c r="D102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94" i="2"/>
  <c r="D94" i="2" s="1"/>
  <c r="D66" i="2"/>
  <c r="F66" i="2" s="1"/>
  <c r="C101" i="2"/>
  <c r="D101" i="2" s="1"/>
  <c r="E65" i="2"/>
  <c r="F65" i="2" s="1"/>
  <c r="C105" i="2"/>
  <c r="D105" i="2" s="1"/>
  <c r="C104" i="2"/>
  <c r="D104" i="2" s="1"/>
  <c r="C106" i="2"/>
  <c r="D106" i="2" s="1"/>
  <c r="C103" i="2"/>
  <c r="D103" i="2" s="1"/>
  <c r="E67" i="2"/>
  <c r="F67" i="2" s="1"/>
  <c r="C107" i="2"/>
  <c r="D107" i="2" s="1"/>
  <c r="C92" i="2"/>
  <c r="D92" i="2" s="1"/>
  <c r="C91" i="2"/>
  <c r="C93" i="2"/>
  <c r="D93" i="2" s="1"/>
  <c r="E47" i="2"/>
  <c r="E46" i="2"/>
  <c r="E42" i="2"/>
  <c r="D34" i="2"/>
  <c r="D31" i="2"/>
  <c r="F31" i="2" s="1"/>
  <c r="D29" i="2"/>
  <c r="F29" i="2" s="1"/>
  <c r="D36" i="2"/>
  <c r="D23" i="2"/>
  <c r="F23" i="2" s="1"/>
  <c r="D22" i="2"/>
  <c r="F22" i="2" s="1"/>
  <c r="D20" i="2"/>
  <c r="F20" i="2" s="1"/>
  <c r="D30" i="2"/>
  <c r="F30" i="2" s="1"/>
  <c r="D27" i="2"/>
  <c r="D35" i="2"/>
  <c r="D26" i="2"/>
  <c r="D44" i="2" s="1"/>
  <c r="F44" i="2" s="1"/>
  <c r="D19" i="2"/>
  <c r="D28" i="2"/>
  <c r="D21" i="2"/>
  <c r="F21" i="2" s="1"/>
  <c r="D33" i="2"/>
  <c r="F33" i="2" s="1"/>
  <c r="B4" i="2"/>
  <c r="C4" i="2"/>
  <c r="B5" i="2"/>
  <c r="C5" i="2"/>
  <c r="C6" i="2"/>
  <c r="B6" i="2"/>
  <c r="F43" i="2" l="1"/>
  <c r="D37" i="2"/>
  <c r="F37" i="2" s="1"/>
  <c r="F32" i="2"/>
  <c r="C25" i="2"/>
  <c r="C24" i="2"/>
  <c r="E91" i="2"/>
  <c r="C108" i="2"/>
  <c r="C129" i="2"/>
  <c r="D129" i="2"/>
  <c r="F129" i="2"/>
  <c r="D130" i="2"/>
  <c r="E129" i="2"/>
  <c r="F130" i="2"/>
  <c r="E130" i="2"/>
  <c r="C130" i="2"/>
  <c r="D124" i="2"/>
  <c r="D115" i="2"/>
  <c r="D91" i="2"/>
  <c r="C125" i="2"/>
  <c r="D117" i="2"/>
  <c r="C116" i="2"/>
  <c r="F125" i="2"/>
  <c r="E120" i="2"/>
  <c r="F117" i="2"/>
  <c r="F128" i="2"/>
  <c r="E126" i="2"/>
  <c r="F121" i="2"/>
  <c r="E118" i="2"/>
  <c r="D127" i="2"/>
  <c r="E122" i="2"/>
  <c r="D119" i="2"/>
  <c r="C128" i="2"/>
  <c r="D123" i="2"/>
  <c r="C120" i="2"/>
  <c r="D114" i="2"/>
  <c r="F124" i="2"/>
  <c r="C124" i="2"/>
  <c r="E116" i="2"/>
  <c r="E114" i="2"/>
  <c r="C115" i="2"/>
  <c r="E125" i="2"/>
  <c r="F120" i="2"/>
  <c r="F116" i="2"/>
  <c r="F127" i="2"/>
  <c r="D126" i="2"/>
  <c r="E121" i="2"/>
  <c r="E117" i="2"/>
  <c r="E128" i="2"/>
  <c r="C127" i="2"/>
  <c r="D122" i="2"/>
  <c r="D118" i="2"/>
  <c r="F114" i="2"/>
  <c r="F123" i="2"/>
  <c r="C123" i="2"/>
  <c r="C119" i="2"/>
  <c r="E115" i="2"/>
  <c r="E124" i="2"/>
  <c r="F119" i="2"/>
  <c r="F115" i="2"/>
  <c r="D116" i="2"/>
  <c r="C114" i="2"/>
  <c r="D125" i="2"/>
  <c r="C122" i="2"/>
  <c r="C118" i="2"/>
  <c r="C117" i="2"/>
  <c r="F126" i="2"/>
  <c r="C126" i="2"/>
  <c r="F118" i="2"/>
  <c r="C121" i="2"/>
  <c r="E127" i="2"/>
  <c r="F122" i="2"/>
  <c r="E119" i="2"/>
  <c r="D128" i="2"/>
  <c r="E123" i="2"/>
  <c r="D120" i="2"/>
  <c r="D121" i="2"/>
  <c r="E105" i="2"/>
  <c r="F105" i="2" s="1"/>
  <c r="E104" i="2"/>
  <c r="F104" i="2" s="1"/>
  <c r="E103" i="2"/>
  <c r="F103" i="2" s="1"/>
  <c r="E102" i="2"/>
  <c r="F102" i="2" s="1"/>
  <c r="E96" i="2"/>
  <c r="F96" i="2" s="1"/>
  <c r="E93" i="2"/>
  <c r="F93" i="2" s="1"/>
  <c r="E101" i="2"/>
  <c r="F101" i="2" s="1"/>
  <c r="E95" i="2"/>
  <c r="F95" i="2" s="1"/>
  <c r="E100" i="2"/>
  <c r="F100" i="2" s="1"/>
  <c r="E99" i="2"/>
  <c r="F99" i="2" s="1"/>
  <c r="E94" i="2"/>
  <c r="F94" i="2" s="1"/>
  <c r="E92" i="2"/>
  <c r="F92" i="2" s="1"/>
  <c r="E98" i="2"/>
  <c r="F98" i="2" s="1"/>
  <c r="E97" i="2"/>
  <c r="F97" i="2" s="1"/>
  <c r="E106" i="2"/>
  <c r="F106" i="2" s="1"/>
  <c r="E107" i="2"/>
  <c r="F107" i="2" s="1"/>
  <c r="G66" i="2"/>
  <c r="G68" i="2"/>
  <c r="G67" i="2"/>
  <c r="F28" i="2"/>
  <c r="D46" i="2"/>
  <c r="F46" i="2" s="1"/>
  <c r="F19" i="2"/>
  <c r="D42" i="2"/>
  <c r="F42" i="2" s="1"/>
  <c r="F35" i="2"/>
  <c r="D47" i="2"/>
  <c r="F47" i="2" s="1"/>
  <c r="F27" i="2"/>
  <c r="D45" i="2"/>
  <c r="F45" i="2" s="1"/>
  <c r="C27" i="2"/>
  <c r="C45" i="2" s="1"/>
  <c r="C20" i="2"/>
  <c r="C19" i="2"/>
  <c r="F34" i="2"/>
  <c r="C34" i="2"/>
  <c r="C21" i="2"/>
  <c r="C31" i="2"/>
  <c r="C33" i="2"/>
  <c r="C22" i="2"/>
  <c r="F26" i="2"/>
  <c r="C26" i="2"/>
  <c r="C44" i="2" s="1"/>
  <c r="C30" i="2"/>
  <c r="C29" i="2"/>
  <c r="C28" i="2"/>
  <c r="C35" i="2"/>
  <c r="F36" i="2"/>
  <c r="C36" i="2"/>
  <c r="C23" i="2"/>
  <c r="C7" i="2"/>
  <c r="C13" i="2" s="1"/>
  <c r="B7" i="2"/>
  <c r="B12" i="2" s="1"/>
  <c r="C37" i="2" l="1"/>
  <c r="F91" i="2"/>
  <c r="F131" i="2"/>
  <c r="E131" i="2"/>
  <c r="D131" i="2"/>
  <c r="C131" i="2"/>
  <c r="E108" i="2"/>
  <c r="D108" i="2"/>
  <c r="C47" i="2"/>
  <c r="C46" i="2"/>
  <c r="C42" i="2"/>
  <c r="B11" i="2"/>
  <c r="B13" i="2"/>
  <c r="C11" i="2"/>
  <c r="C12" i="2"/>
  <c r="F108" i="2" l="1"/>
  <c r="B14" i="2"/>
  <c r="C14" i="2"/>
</calcChain>
</file>

<file path=xl/sharedStrings.xml><?xml version="1.0" encoding="utf-8"?>
<sst xmlns="http://schemas.openxmlformats.org/spreadsheetml/2006/main" count="4745" uniqueCount="737">
  <si>
    <t>Link</t>
  </si>
  <si>
    <t>Company Name</t>
  </si>
  <si>
    <t>Text</t>
  </si>
  <si>
    <t>text_new</t>
  </si>
  <si>
    <t>Scheme Name</t>
  </si>
  <si>
    <t>status</t>
  </si>
  <si>
    <t>scheme</t>
  </si>
  <si>
    <t>Due Date</t>
  </si>
  <si>
    <t>Submit Date</t>
  </si>
  <si>
    <t>https://crd-app.companiesoffice.govt.nz/dashboard/reportingentity/?id=8b6b5ca5-8394-ee11-be37-00224892b34a</t>
  </si>
  <si>
    <t>AA INSURANCE LIMITED</t>
  </si>
  <si>
    <t>Reporting Period
. sort descending
Actions
There are no records to display.</t>
  </si>
  <si>
    <t>There are no records to display.</t>
  </si>
  <si>
    <t>No records</t>
  </si>
  <si>
    <t>Company</t>
  </si>
  <si>
    <t>https://crd-app.companiesoffice.govt.nz/dashboard/reportingentity/?id=a96b5ca5-8394-ee11-be37-00224892b34a</t>
  </si>
  <si>
    <t>AFT PHARMACEUTICALS LIMITED</t>
  </si>
  <si>
    <t>Reporting Period
. sort descending
Actions
31-03-2024 - Due by 31-07-2024</t>
  </si>
  <si>
    <t>31-03-2024 - Due by 31-07-2024</t>
  </si>
  <si>
    <t>Have records but not submitted</t>
  </si>
  <si>
    <t>https://crd-app.companiesoffice.govt.nz/dashboard/reportingentity/?id=8d6b5ca5-8394-ee11-be37-00224892b34a</t>
  </si>
  <si>
    <t>AIA NEW ZEALAND LIMITED</t>
  </si>
  <si>
    <t>Reporting Period
. sort descending
Actions
31-12-2023 - Due by 30-04-2024</t>
  </si>
  <si>
    <t>31-12-2023 - Due by 30-04-2024</t>
  </si>
  <si>
    <t>https://crd-app.companiesoffice.govt.nz/dashboard/reportingentity/?id=ab6b5ca5-8394-ee11-be37-00224892b34a</t>
  </si>
  <si>
    <t>AIR NEW ZEALAND LIMITED</t>
  </si>
  <si>
    <t>https://crd-app.companiesoffice.govt.nz/dashboard/reportingentity/?id=ad6b5ca5-8394-ee11-be37-00224892b34a</t>
  </si>
  <si>
    <t>ARBORGEN HOLDINGS LIMITED</t>
  </si>
  <si>
    <t>https://crd-app.companiesoffice.govt.nz/dashboard/reportingentity/?id=af6b5ca5-8394-ee11-be37-00224892b34a</t>
  </si>
  <si>
    <t>ARGOSY PROPERTY LIMITED</t>
  </si>
  <si>
    <t>https://crd-app.companiesoffice.govt.nz/dashboard/reportingentity/?id=b16b5ca5-8394-ee11-be37-00224892b34a</t>
  </si>
  <si>
    <t>ARVIDA GROUP LIMITED</t>
  </si>
  <si>
    <t>https://crd-app.companiesoffice.govt.nz/dashboard/reportingentity/?id=656b5ca5-8394-ee11-be37-00224892b34a</t>
  </si>
  <si>
    <t>ASB BANK LIMITED</t>
  </si>
  <si>
    <t>https://crd-app.companiesoffice.govt.nz/dashboard/reportingentity/?id=b36b5ca5-8394-ee11-be37-00224892b34a</t>
  </si>
  <si>
    <t>ASSET PLUS LIMITED</t>
  </si>
  <si>
    <t>https://crd-app.companiesoffice.govt.nz/dashboard/reportingentity/?id=8f6b5ca5-8394-ee11-be37-00224892b34a</t>
  </si>
  <si>
    <t>ASTERON LIFE LIMITED</t>
  </si>
  <si>
    <t>https://crd-app.companiesoffice.govt.nz/dashboard/reportingentity/?id=b56b5ca5-8394-ee11-be37-00224892b34a</t>
  </si>
  <si>
    <t>AUCKLAND COUNCIL</t>
  </si>
  <si>
    <t>https://crd-app.companiesoffice.govt.nz/dashboard/reportingentity/?id=b76b5ca5-8394-ee11-be37-00224892b34a</t>
  </si>
  <si>
    <t>AUCKLAND INTERNATIONAL AIRPORT LIMITED</t>
  </si>
  <si>
    <t>https://crd-app.companiesoffice.govt.nz/dashboard/reportingentity/?id=b96b5ca5-8394-ee11-be37-00224892b34a</t>
  </si>
  <si>
    <t>AUSTRALIAN FOUNDATION INVESTMENT COMPANY LIMITED</t>
  </si>
  <si>
    <t>https://crd-app.companiesoffice.govt.nz/dashboard/reportingentity/?id=676b5ca5-8394-ee11-be37-00224892b34a</t>
  </si>
  <si>
    <t>BANK OF CHINA (NEW ZEALAND) LIMITED</t>
  </si>
  <si>
    <t>https://crd-app.companiesoffice.govt.nz/dashboard/reportingentity/?id=696b5ca5-8394-ee11-be37-00224892b34a</t>
  </si>
  <si>
    <t>BANK OF CHINA LIMITED</t>
  </si>
  <si>
    <t>https://crd-app.companiesoffice.govt.nz/dashboard/reportingentity/?id=bb6b5ca5-8394-ee11-be37-00224892b34a</t>
  </si>
  <si>
    <t>BARRAMUNDI LIMITED</t>
  </si>
  <si>
    <t>https://crd-app.companiesoffice.govt.nz/dashboard/reportingentity/?id=bd6b5ca5-8394-ee11-be37-00224892b34a</t>
  </si>
  <si>
    <t>BRISCOE GROUP LIMITED</t>
  </si>
  <si>
    <t>Reporting Period
. sort descending
Actions
31-01-2024 - Click to view Climate Statement/s</t>
  </si>
  <si>
    <t>31-01-2024 - Click to view Climate Statement/s</t>
  </si>
  <si>
    <t>Have records and have submitted</t>
  </si>
  <si>
    <t>https://crd-app.companiesoffice.govt.nz/dashboard/reportingentity/?id=bf6b5ca5-8394-ee11-be37-00224892b34a</t>
  </si>
  <si>
    <t>CDL INVESTMENTS NEW ZEALAND LIMITED</t>
  </si>
  <si>
    <t>Reporting Period
. sort descending
Actions
31-12-2023 - Click to view Climate Statement/s</t>
  </si>
  <si>
    <t>31-12-2023 - Click to view Climate Statement/s</t>
  </si>
  <si>
    <t>https://crd-app.companiesoffice.govt.nz/dashboard/reportingentity/?id=c16b5ca5-8394-ee11-be37-00224892b34a</t>
  </si>
  <si>
    <t>CHANNEL INFRASTRUCTURE NZ LIMITED</t>
  </si>
  <si>
    <t>https://crd-app.companiesoffice.govt.nz/dashboard/reportingentity/?id=6b6b5ca5-8394-ee11-be37-00224892b34a</t>
  </si>
  <si>
    <t>CHINA CONSTRUCTION BANK (NEW ZEALAND) LIMITED</t>
  </si>
  <si>
    <t>https://crd-app.companiesoffice.govt.nz/dashboard/reportingentity/?id=6d6b5ca5-8394-ee11-be37-00224892b34a</t>
  </si>
  <si>
    <t>CHINA CONSTRUCTION BANK CORPORATION</t>
  </si>
  <si>
    <t>https://crd-app.companiesoffice.govt.nz/dashboard/reportingentity/?id=c36b5ca5-8394-ee11-be37-00224892b34a</t>
  </si>
  <si>
    <t>CHORUS LIMITED</t>
  </si>
  <si>
    <t>https://crd-app.companiesoffice.govt.nz/dashboard/reportingentity/?id=c56b5ca5-8394-ee11-be37-00224892b34a</t>
  </si>
  <si>
    <t>CHRISTCHURCH CITY HOLDINGS LIMITED</t>
  </si>
  <si>
    <t>https://crd-app.companiesoffice.govt.nz/dashboard/reportingentity/?id=c76b5ca5-8394-ee11-be37-00224892b34a</t>
  </si>
  <si>
    <t>CHRISTCHURCH INTERNATIONAL AIRPORT LIMITED</t>
  </si>
  <si>
    <t>https://crd-app.companiesoffice.govt.nz/dashboard/reportingentity/?id=916b5ca5-8394-ee11-be37-00224892b34a</t>
  </si>
  <si>
    <t>CHUBB LIFE INSURANCE NEW ZEALAND LIMITED</t>
  </si>
  <si>
    <t>https://crd-app.companiesoffice.govt.nz/dashboard/reportingentity/?id=6f6b5ca5-8394-ee11-be37-00224892b34a</t>
  </si>
  <si>
    <t>CITIBANK, N.A.</t>
  </si>
  <si>
    <t>https://crd-app.companiesoffice.govt.nz/dashboard/reportingentity/?id=716b5ca5-8394-ee11-be37-00224892b34a</t>
  </si>
  <si>
    <t>COMMONWEALTH BANK OF AUSTRALIA</t>
  </si>
  <si>
    <t>https://crd-app.companiesoffice.govt.nz/dashboard/reportingentity/?id=c96b5ca5-8394-ee11-be37-00224892b34a</t>
  </si>
  <si>
    <t>COMVITA LIMITED</t>
  </si>
  <si>
    <t>https://crd-app.companiesoffice.govt.nz/dashboard/reportingentity/?id=cb6b5ca5-8394-ee11-be37-00224892b34a</t>
  </si>
  <si>
    <t>CONTACT ENERGY LIMITED</t>
  </si>
  <si>
    <t>https://crd-app.companiesoffice.govt.nz/dashboard/reportingentity/?id=736b5ca5-8394-ee11-be37-00224892b34a</t>
  </si>
  <si>
    <t>COOPERATIEVE RABOBANK U.A.</t>
  </si>
  <si>
    <t>https://crd-app.companiesoffice.govt.nz/dashboard/reportingentity/?id=cd6b5ca5-8394-ee11-be37-00224892b34a</t>
  </si>
  <si>
    <t>DELEGAT GROUP LIMITED</t>
  </si>
  <si>
    <t>https://crd-app.companiesoffice.govt.nz/dashboard/reportingentity/?id=cf6b5ca5-8394-ee11-be37-00224892b34a</t>
  </si>
  <si>
    <t>EBOS GROUP LIMITED</t>
  </si>
  <si>
    <t>https://crd-app.companiesoffice.govt.nz/dashboard/reportingentity/?id=d16b5ca5-8394-ee11-be37-00224892b34a</t>
  </si>
  <si>
    <t>EROAD LIMITED</t>
  </si>
  <si>
    <t>https://crd-app.companiesoffice.govt.nz/dashboard/reportingentity/?id=d36b5ca5-8394-ee11-be37-00224892b34a</t>
  </si>
  <si>
    <t>F&amp;C INVESTMENT TRUST PLC</t>
  </si>
  <si>
    <t>https://crd-app.companiesoffice.govt.nz/dashboard/reportingentity/?id=936b5ca5-8394-ee11-be37-00224892b34a</t>
  </si>
  <si>
    <t>FIDELITY LIFE ASSURANCE COMPANY LIMITED</t>
  </si>
  <si>
    <t>https://crd-app.companiesoffice.govt.nz/dashboard/reportingentity/?id=d56b5ca5-8394-ee11-be37-00224892b34a</t>
  </si>
  <si>
    <t>FISHER &amp; PAYKEL HEALTHCARE CORPORATION LIMITED</t>
  </si>
  <si>
    <t>https://crd-app.companiesoffice.govt.nz/dashboard/reportingentity/?id=d76b5ca5-8394-ee11-be37-00224892b34a</t>
  </si>
  <si>
    <t>FLETCHER BUILDING INDUSTRIES LIMITED</t>
  </si>
  <si>
    <t>https://crd-app.companiesoffice.govt.nz/dashboard/reportingentity/?id=d96b5ca5-8394-ee11-be37-00224892b34a</t>
  </si>
  <si>
    <t>FLETCHER BUILDING LIMITED</t>
  </si>
  <si>
    <t>https://crd-app.companiesoffice.govt.nz/dashboard/reportingentity/?id=956b5ca5-8394-ee11-be37-00224892b34a</t>
  </si>
  <si>
    <t>FMG INSURANCE LIMITED</t>
  </si>
  <si>
    <t>https://crd-app.companiesoffice.govt.nz/dashboard/reportingentity/?id=db6b5ca5-8394-ee11-be37-00224892b34a</t>
  </si>
  <si>
    <t>FOLEY WINES LIMITED</t>
  </si>
  <si>
    <t>https://crd-app.companiesoffice.govt.nz/dashboard/reportingentity/?id=dd6b5ca5-8394-ee11-be37-00224892b34a</t>
  </si>
  <si>
    <t>FREIGHTWAYS GROUP LIMITED</t>
  </si>
  <si>
    <t>https://crd-app.companiesoffice.govt.nz/dashboard/reportingentity/?id=df6b5ca5-8394-ee11-be37-00224892b34a</t>
  </si>
  <si>
    <t>GENESIS ENERGY LIMITED</t>
  </si>
  <si>
    <t>https://crd-app.companiesoffice.govt.nz/dashboard/reportingentity/?id=e16b5ca5-8394-ee11-be37-00224892b34a</t>
  </si>
  <si>
    <t>GMT BOND ISSUER LIMITED</t>
  </si>
  <si>
    <t>https://crd-app.companiesoffice.govt.nz/dashboard/reportingentity/?id=e36b5ca5-8394-ee11-be37-00224892b34a</t>
  </si>
  <si>
    <t>GREEN CROSS HEALTH LIMITED</t>
  </si>
  <si>
    <t>https://crd-app.companiesoffice.govt.nz/dashboard/reportingentity/?id=756b5ca5-8394-ee11-be37-00224892b34a</t>
  </si>
  <si>
    <t>HEARTLAND BANK LIMITED</t>
  </si>
  <si>
    <t>https://crd-app.companiesoffice.govt.nz/dashboard/reportingentity/?id=e56b5ca5-8394-ee11-be37-00224892b34a</t>
  </si>
  <si>
    <t>HEARTLAND GROUP HOLDINGS LIMITED</t>
  </si>
  <si>
    <t>https://crd-app.companiesoffice.govt.nz/dashboard/reportingentity/?id=e76b5ca5-8394-ee11-be37-00224892b34a</t>
  </si>
  <si>
    <t>HOUSING NEW ZEALAND LIMITED</t>
  </si>
  <si>
    <t>https://crd-app.companiesoffice.govt.nz/dashboard/reportingentity/?id=976b5ca5-8394-ee11-be37-00224892b34a</t>
  </si>
  <si>
    <t>IAG NEW ZEALAND LIMITED</t>
  </si>
  <si>
    <t>https://crd-app.companiesoffice.govt.nz/dashboard/reportingentity/?id=e96b5ca5-8394-ee11-be37-00224892b34a</t>
  </si>
  <si>
    <t>IKEGPS GROUP LIMITED</t>
  </si>
  <si>
    <t>https://crd-app.companiesoffice.govt.nz/dashboard/reportingentity/?id=776b5ca5-8394-ee11-be37-00224892b34a</t>
  </si>
  <si>
    <t>INDUSTRIAL AND COMMERCIAL BANK OF CHINA (NEW ZEALAND) LIMITED</t>
  </si>
  <si>
    <t>https://crd-app.companiesoffice.govt.nz/dashboard/reportingentity/?id=796b5ca5-8394-ee11-be37-00224892b34a</t>
  </si>
  <si>
    <t>INDUSTRIAL AND COMMERCIAL BANK OF CHINA LIMITED</t>
  </si>
  <si>
    <t>https://crd-app.companiesoffice.govt.nz/dashboard/reportingentity/?id=eb6b5ca5-8394-ee11-be37-00224892b34a</t>
  </si>
  <si>
    <t>INFRATIL LIMITED</t>
  </si>
  <si>
    <t>https://crd-app.companiesoffice.govt.nz/dashboard/reportingentity/?id=ed6b5ca5-8394-ee11-be37-00224892b34a</t>
  </si>
  <si>
    <t>INSURANCE AUSTRALIA GROUP LIMITED</t>
  </si>
  <si>
    <t>https://crd-app.companiesoffice.govt.nz/dashboard/reportingentity/?id=ef6b5ca5-8394-ee11-be37-00224892b34a</t>
  </si>
  <si>
    <t>INVESTORE PROPERTY LIMITED</t>
  </si>
  <si>
    <t>https://crd-app.companiesoffice.govt.nz/dashboard/reportingentity/?id=7b6b5ca5-8394-ee11-be37-00224892b34a</t>
  </si>
  <si>
    <t>JPMORGAN CHASE BANK, N.A.</t>
  </si>
  <si>
    <t>https://crd-app.companiesoffice.govt.nz/dashboard/reportingentity/?id=f16b5ca5-8394-ee11-be37-00224892b34a</t>
  </si>
  <si>
    <t>KINGFISH LIMITED</t>
  </si>
  <si>
    <t>https://crd-app.companiesoffice.govt.nz/dashboard/reportingentity/?id=f36b5ca5-8394-ee11-be37-00224892b34a</t>
  </si>
  <si>
    <t>KIWI PROPERTY GROUP LIMITED</t>
  </si>
  <si>
    <t>https://crd-app.companiesoffice.govt.nz/dashboard/reportingentity/?id=7d6b5ca5-8394-ee11-be37-00224892b34a</t>
  </si>
  <si>
    <t>KIWIBANK LIMITED</t>
  </si>
  <si>
    <t>https://crd-app.companiesoffice.govt.nz/dashboard/reportingentity/?id=f56b5ca5-8394-ee11-be37-00224892b34a</t>
  </si>
  <si>
    <t>LIVESTOCK IMPROVEMENT CORPORATION LIMITED</t>
  </si>
  <si>
    <t>https://crd-app.companiesoffice.govt.nz/dashboard/reportingentity/?id=f76b5ca5-8394-ee11-be37-00224892b34a</t>
  </si>
  <si>
    <t>MAINFREIGHT LIMITED</t>
  </si>
  <si>
    <t>https://crd-app.companiesoffice.govt.nz/dashboard/reportingentity/?id=f96b5ca5-8394-ee11-be37-00224892b34a</t>
  </si>
  <si>
    <t>MANAWA ENERGY LIMITED</t>
  </si>
  <si>
    <t>https://crd-app.companiesoffice.govt.nz/dashboard/reportingentity/?id=fb6b5ca5-8394-ee11-be37-00224892b34a</t>
  </si>
  <si>
    <t>MARLIN GLOBAL LIMITED</t>
  </si>
  <si>
    <t>https://crd-app.companiesoffice.govt.nz/dashboard/reportingentity/?id=fd6b5ca5-8394-ee11-be37-00224892b34a</t>
  </si>
  <si>
    <t>MARSDEN MARITIME HOLDINGS LIMITED</t>
  </si>
  <si>
    <t>https://crd-app.companiesoffice.govt.nz/dashboard/reportingentity/?id=ff6b5ca5-8394-ee11-be37-00224892b34a</t>
  </si>
  <si>
    <t>MERCURY NZ LIMITED</t>
  </si>
  <si>
    <t>https://crd-app.companiesoffice.govt.nz/dashboard/reportingentity/?id=016c5ca5-8394-ee11-be37-00224892b34a</t>
  </si>
  <si>
    <t>MERIDIAN ENERGY LIMITED</t>
  </si>
  <si>
    <t>https://crd-app.companiesoffice.govt.nz/dashboard/reportingentity/?id=036c5ca5-8394-ee11-be37-00224892b34a</t>
  </si>
  <si>
    <t>METLIFECARE LIMITED</t>
  </si>
  <si>
    <t>https://crd-app.companiesoffice.govt.nz/dashboard/reportingentity/?id=056c5ca5-8394-ee11-be37-00224892b34a</t>
  </si>
  <si>
    <t>MICHAEL HILL INTERNATIONAL LIMITED</t>
  </si>
  <si>
    <t>https://crd-app.companiesoffice.govt.nz/dashboard/reportingentity/?id=076c5ca5-8394-ee11-be37-00224892b34a</t>
  </si>
  <si>
    <t>MILLENNIUM &amp; COPTHORNE HOTELS NEW ZEALAND LIMITED</t>
  </si>
  <si>
    <t>https://crd-app.companiesoffice.govt.nz/dashboard/reportingentity/?id=096c5ca5-8394-ee11-be37-00224892b34a</t>
  </si>
  <si>
    <t>MOVE LOGISTICS GROUP LIMITED</t>
  </si>
  <si>
    <t>https://crd-app.companiesoffice.govt.nz/dashboard/reportingentity/?id=7f6b5ca5-8394-ee11-be37-00224892b34a</t>
  </si>
  <si>
    <t>MUFG BANK, LTD.</t>
  </si>
  <si>
    <t>https://crd-app.companiesoffice.govt.nz/dashboard/reportingentity/?id=9b6c5ca5-8394-ee11-be37-00224892b34a</t>
  </si>
  <si>
    <t>NELSON BUILDING SOCIETY</t>
  </si>
  <si>
    <t>https://crd-app.companiesoffice.govt.nz/dashboard/reportingentity/?id=0b6c5ca5-8394-ee11-be37-00224892b34a</t>
  </si>
  <si>
    <t>NEW ZEALAND KING SALMON INVESTMENTS LIMITED</t>
  </si>
  <si>
    <t>Reporting Period
. sort descending
Actions
31-01-2024 - Due by 31-05-2024</t>
  </si>
  <si>
    <t>31-01-2024 - Due by 31-05-2024</t>
  </si>
  <si>
    <t>https://crd-app.companiesoffice.govt.nz/dashboard/reportingentity/?id=0d6c5ca5-8394-ee11-be37-00224892b34a</t>
  </si>
  <si>
    <t>NEW ZEALAND LOCAL GOVERNMENT FUNDING AGENCY LIMITED</t>
  </si>
  <si>
    <t>https://crd-app.companiesoffice.govt.nz/dashboard/reportingentity/?id=0f6c5ca5-8394-ee11-be37-00224892b34a</t>
  </si>
  <si>
    <t>NEW ZEALAND OIL &amp; GAS LIMITED</t>
  </si>
  <si>
    <t>https://crd-app.companiesoffice.govt.nz/dashboard/reportingentity/?id=116c5ca5-8394-ee11-be37-00224892b34a</t>
  </si>
  <si>
    <t>NEW ZEALAND RURAL LAND COMPANY LIMITED</t>
  </si>
  <si>
    <t>https://crd-app.companiesoffice.govt.nz/dashboard/reportingentity/?id=996b5ca5-8394-ee11-be37-00224892b34a</t>
  </si>
  <si>
    <t>NIB NZ LIMITED</t>
  </si>
  <si>
    <t>https://crd-app.companiesoffice.govt.nz/dashboard/reportingentity/?id=136c5ca5-8394-ee11-be37-00224892b34a</t>
  </si>
  <si>
    <t>NZME LIMITED</t>
  </si>
  <si>
    <t>https://crd-app.companiesoffice.govt.nz/dashboard/reportingentity/?id=156c5ca5-8394-ee11-be37-00224892b34a</t>
  </si>
  <si>
    <t>NZX LIMITED</t>
  </si>
  <si>
    <t>https://crd-app.companiesoffice.govt.nz/dashboard/reportingentity/?id=176c5ca5-8394-ee11-be37-00224892b34a</t>
  </si>
  <si>
    <t>OCEANIA HEALTHCARE LIMITED</t>
  </si>
  <si>
    <t>https://crd-app.companiesoffice.govt.nz/dashboard/reportingentity/?id=196c5ca5-8394-ee11-be37-00224892b34a</t>
  </si>
  <si>
    <t>PACIFIC EDGE LIMITED</t>
  </si>
  <si>
    <t>https://crd-app.companiesoffice.govt.nz/dashboard/reportingentity/?id=9b6b5ca5-8394-ee11-be37-00224892b34a</t>
  </si>
  <si>
    <t>PARTNERS LIFE LIMITED</t>
  </si>
  <si>
    <t>https://crd-app.companiesoffice.govt.nz/dashboard/reportingentity/?id=1b6c5ca5-8394-ee11-be37-00224892b34a</t>
  </si>
  <si>
    <t>PGG WRIGHTSON LIMITED</t>
  </si>
  <si>
    <t>https://crd-app.companiesoffice.govt.nz/dashboard/reportingentity/?id=1d6c5ca5-8394-ee11-be37-00224892b34a</t>
  </si>
  <si>
    <t>PORT OF TAURANGA LIMITED</t>
  </si>
  <si>
    <t>https://crd-app.companiesoffice.govt.nz/dashboard/reportingentity/?id=1f6c5ca5-8394-ee11-be37-00224892b34a</t>
  </si>
  <si>
    <t>PRECINCT PROPERTIES NEW ZEALAND LIMITED</t>
  </si>
  <si>
    <t>https://crd-app.companiesoffice.govt.nz/dashboard/reportingentity/?id=216c5ca5-8394-ee11-be37-00224892b34a</t>
  </si>
  <si>
    <t>PROPERTY FOR INDUSTRY LIMITED</t>
  </si>
  <si>
    <t>https://crd-app.companiesoffice.govt.nz/dashboard/reportingentity/?id=9d6b5ca5-8394-ee11-be37-00224892b34a</t>
  </si>
  <si>
    <t>QBE INSURANCE (AUSTRALIA) LIMITED</t>
  </si>
  <si>
    <t>https://crd-app.companiesoffice.govt.nz/dashboard/reportingentity/?id=236c5ca5-8394-ee11-be37-00224892b34a</t>
  </si>
  <si>
    <t>QUAYSIDE HOLDINGS LIMITED</t>
  </si>
  <si>
    <t>https://crd-app.companiesoffice.govt.nz/dashboard/reportingentity/?id=816b5ca5-8394-ee11-be37-00224892b34a</t>
  </si>
  <si>
    <t>RABOBANK NEW ZEALAND LIMITED</t>
  </si>
  <si>
    <t>https://crd-app.companiesoffice.govt.nz/dashboard/reportingentity/?id=256c5ca5-8394-ee11-be37-00224892b34a</t>
  </si>
  <si>
    <t>RADIUS RESIDENTIAL CARE LIMITED</t>
  </si>
  <si>
    <t>https://crd-app.companiesoffice.govt.nz/dashboard/reportingentity/?id=276c5ca5-8394-ee11-be37-00224892b34a</t>
  </si>
  <si>
    <t>RAKON LIMITED</t>
  </si>
  <si>
    <t>https://crd-app.companiesoffice.govt.nz/dashboard/reportingentity/?id=9f6b5ca5-8394-ee11-be37-00224892b34a</t>
  </si>
  <si>
    <t>RESOLUTION LIFE AUSTRALASIA LIMITED</t>
  </si>
  <si>
    <t>https://crd-app.companiesoffice.govt.nz/dashboard/reportingentity/?id=296c5ca5-8394-ee11-be37-00224892b34a</t>
  </si>
  <si>
    <t>RESTAURANT BRANDS NEW ZEALAND LIMITED</t>
  </si>
  <si>
    <t>https://crd-app.companiesoffice.govt.nz/dashboard/reportingentity/?id=2b6c5ca5-8394-ee11-be37-00224892b34a</t>
  </si>
  <si>
    <t>RYMAN HEALTHCARE LIMITED</t>
  </si>
  <si>
    <t>https://crd-app.companiesoffice.govt.nz/dashboard/reportingentity/?id=2d6c5ca5-8394-ee11-be37-00224892b34a</t>
  </si>
  <si>
    <t>SCALES CORPORATION LIMITED</t>
  </si>
  <si>
    <t>https://crd-app.companiesoffice.govt.nz/dashboard/reportingentity/?id=2f6c5ca5-8394-ee11-be37-00224892b34a</t>
  </si>
  <si>
    <t>SEEKA LIMITED</t>
  </si>
  <si>
    <t>https://crd-app.companiesoffice.govt.nz/dashboard/reportingentity/?id=316c5ca5-8394-ee11-be37-00224892b34a</t>
  </si>
  <si>
    <t>SERKO LIMITED</t>
  </si>
  <si>
    <t>https://crd-app.companiesoffice.govt.nz/dashboard/reportingentity/?id=336c5ca5-8394-ee11-be37-00224892b34a</t>
  </si>
  <si>
    <t>SKELLERUP HOLDINGS LIMITED</t>
  </si>
  <si>
    <t>https://crd-app.companiesoffice.govt.nz/dashboard/reportingentity/?id=356c5ca5-8394-ee11-be37-00224892b34a</t>
  </si>
  <si>
    <t>SKY NETWORK TELEVISION LIMITED</t>
  </si>
  <si>
    <t>https://crd-app.companiesoffice.govt.nz/dashboard/reportingentity/?id=376c5ca5-8394-ee11-be37-00224892b34a</t>
  </si>
  <si>
    <t>SKYCITY ENTERTAINMENT GROUP LIMITED</t>
  </si>
  <si>
    <t>https://crd-app.companiesoffice.govt.nz/dashboard/reportingentity/?id=396c5ca5-8394-ee11-be37-00224892b34a</t>
  </si>
  <si>
    <t>SMARTPAY HOLDINGS LIMITED</t>
  </si>
  <si>
    <t>https://crd-app.companiesoffice.govt.nz/dashboard/reportingentity/?id=3b6c5ca5-8394-ee11-be37-00224892b34a</t>
  </si>
  <si>
    <t>SOUTH PORT NEW ZEALAND LIMITED</t>
  </si>
  <si>
    <t>https://crd-app.companiesoffice.govt.nz/dashboard/reportingentity/?id=a16b5ca5-8394-ee11-be37-00224892b34a</t>
  </si>
  <si>
    <t>SOUTHERN CROSS MEDICAL CARE SOCIETY</t>
  </si>
  <si>
    <t>https://crd-app.companiesoffice.govt.nz/dashboard/reportingentity/?id=836b5ca5-8394-ee11-be37-00224892b34a</t>
  </si>
  <si>
    <t>SOUTHLAND BUILDING SOCIETY</t>
  </si>
  <si>
    <t>https://crd-app.companiesoffice.govt.nz/dashboard/reportingentity/?id=3d6c5ca5-8394-ee11-be37-00224892b34a</t>
  </si>
  <si>
    <t>SPARK FINANCE LIMITED</t>
  </si>
  <si>
    <t>https://crd-app.companiesoffice.govt.nz/dashboard/reportingentity/?id=3f6c5ca5-8394-ee11-be37-00224892b34a</t>
  </si>
  <si>
    <t>SPARK NEW ZEALAND LIMITED</t>
  </si>
  <si>
    <t>https://crd-app.companiesoffice.govt.nz/dashboard/reportingentity/?id=416c5ca5-8394-ee11-be37-00224892b34a</t>
  </si>
  <si>
    <t>STEEL &amp; TUBE HOLDINGS LIMITED</t>
  </si>
  <si>
    <t>https://crd-app.companiesoffice.govt.nz/dashboard/reportingentity/?id=436c5ca5-8394-ee11-be37-00224892b34a</t>
  </si>
  <si>
    <t>STRIDE INVESTMENT MANAGEMENT LIMITED</t>
  </si>
  <si>
    <t>https://crd-app.companiesoffice.govt.nz/dashboard/reportingentity/?id=456c5ca5-8394-ee11-be37-00224892b34a</t>
  </si>
  <si>
    <t>STRIDE PROPERTY LIMITED</t>
  </si>
  <si>
    <t>https://crd-app.companiesoffice.govt.nz/dashboard/reportingentity/?id=476c5ca5-8394-ee11-be37-00224892b34a</t>
  </si>
  <si>
    <t>SUMMERSET GROUP HOLDINGS LIMITED</t>
  </si>
  <si>
    <t>https://crd-app.companiesoffice.govt.nz/dashboard/reportingentity/?id=a36b5ca5-8394-ee11-be37-00224892b34a</t>
  </si>
  <si>
    <t>SWISS RE LIFE &amp; HEALTH AUSTRALIA LIMITED</t>
  </si>
  <si>
    <t>https://crd-app.companiesoffice.govt.nz/dashboard/reportingentity/?id=496c5ca5-8394-ee11-be37-00224892b34a</t>
  </si>
  <si>
    <t>T&amp;G GLOBAL LIMITED</t>
  </si>
  <si>
    <t>https://crd-app.companiesoffice.govt.nz/dashboard/reportingentity/?id=4b6c5ca5-8394-ee11-be37-00224892b34a</t>
  </si>
  <si>
    <t>TEMPLETON EMERGING MARKETS INVESTMENT TRUST PUBLIC LIMITED COMPANY</t>
  </si>
  <si>
    <t>https://crd-app.companiesoffice.govt.nz/dashboard/reportingentity/?id=4d6c5ca5-8394-ee11-be37-00224892b34a</t>
  </si>
  <si>
    <t>THE A2 MILK COMPANY LIMITED</t>
  </si>
  <si>
    <t>https://crd-app.companiesoffice.govt.nz/dashboard/reportingentity/?id=4f6c5ca5-8394-ee11-be37-00224892b34a</t>
  </si>
  <si>
    <t>THE CITY OF LONDON INVESTMENT TRUST PLC</t>
  </si>
  <si>
    <t>https://crd-app.companiesoffice.govt.nz/dashboard/reportingentity/?id=516c5ca5-8394-ee11-be37-00224892b34a</t>
  </si>
  <si>
    <t>THE COLONIAL MOTOR COMPANY LIMITED</t>
  </si>
  <si>
    <t>https://crd-app.companiesoffice.govt.nz/dashboard/reportingentity/?id=856b5ca5-8394-ee11-be37-00224892b34a</t>
  </si>
  <si>
    <t>THE CO-OPERATIVE BANK LIMITED</t>
  </si>
  <si>
    <t>https://crd-app.companiesoffice.govt.nz/dashboard/reportingentity/?id=a56b5ca5-8394-ee11-be37-00224892b34a</t>
  </si>
  <si>
    <t>THE HOLLARD INSURANCE COMPANY PTY LTD</t>
  </si>
  <si>
    <t>https://crd-app.companiesoffice.govt.nz/dashboard/reportingentity/?id=876b5ca5-8394-ee11-be37-00224892b34a</t>
  </si>
  <si>
    <t>THE HONGKONG AND SHANGHAI BANKING CORPORATION LIMITED</t>
  </si>
  <si>
    <t>https://crd-app.companiesoffice.govt.nz/dashboard/reportingentity/?id=536c5ca5-8394-ee11-be37-00224892b34a</t>
  </si>
  <si>
    <t>TOURISM HOLDINGS LIMITED</t>
  </si>
  <si>
    <t>https://crd-app.companiesoffice.govt.nz/dashboard/reportingentity/?id=556c5ca5-8394-ee11-be37-00224892b34a</t>
  </si>
  <si>
    <t>TRANSPOWER NEW ZEALAND LIMITED</t>
  </si>
  <si>
    <t>https://crd-app.companiesoffice.govt.nz/dashboard/reportingentity/?id=896b5ca5-8394-ee11-be37-00224892b34a</t>
  </si>
  <si>
    <t>TSB BANK LIMITED</t>
  </si>
  <si>
    <t>https://crd-app.companiesoffice.govt.nz/dashboard/reportingentity/?id=576c5ca5-8394-ee11-be37-00224892b34a</t>
  </si>
  <si>
    <t>TURNERS AUTOMOTIVE GROUP LIMITED</t>
  </si>
  <si>
    <t>https://crd-app.companiesoffice.govt.nz/dashboard/reportingentity/?id=596c5ca5-8394-ee11-be37-00224892b34a</t>
  </si>
  <si>
    <t>VECTOR LIMITED</t>
  </si>
  <si>
    <t>https://crd-app.companiesoffice.govt.nz/dashboard/reportingentity/?id=5b6c5ca5-8394-ee11-be37-00224892b34a</t>
  </si>
  <si>
    <t>VENTIA SERVICES GROUP LIMITED</t>
  </si>
  <si>
    <t>https://crd-app.companiesoffice.govt.nz/dashboard/reportingentity/?id=a76b5ca5-8394-ee11-be37-00224892b34a</t>
  </si>
  <si>
    <t>VERO INSURANCE NEW ZEALAND LIMITED</t>
  </si>
  <si>
    <t>https://crd-app.companiesoffice.govt.nz/dashboard/reportingentity/?id=5d6c5ca5-8394-ee11-be37-00224892b34a</t>
  </si>
  <si>
    <t>VISTA GROUP INTERNATIONAL LIMITED</t>
  </si>
  <si>
    <t>https://crd-app.companiesoffice.govt.nz/dashboard/reportingentity/?id=5f6c5ca5-8394-ee11-be37-00224892b34a</t>
  </si>
  <si>
    <t>VULCAN STEEL LIMITED</t>
  </si>
  <si>
    <t>https://crd-app.companiesoffice.govt.nz/dashboard/reportingentity/?id=616c5ca5-8394-ee11-be37-00224892b34a</t>
  </si>
  <si>
    <t>WELLINGTON INTERNATIONAL AIRPORT LIMITED</t>
  </si>
  <si>
    <t>https://crd-app.companiesoffice.govt.nz/dashboard/reportingentity/?id=636c5ca5-8394-ee11-be37-00224892b34a</t>
  </si>
  <si>
    <t>WINTON LAND LIMITED</t>
  </si>
  <si>
    <t>https://crd-app.companiesoffice.govt.nz/dashboard/reportingentity/?id=656c5ca5-8394-ee11-be37-00224892b34a</t>
  </si>
  <si>
    <t>WORKS FINANCE (NZ) LIMITED</t>
  </si>
  <si>
    <t>https://crd-app.companiesoffice.govt.nz/dashboard/reportingentity/?id=676c5ca5-8394-ee11-be37-00224892b34a</t>
  </si>
  <si>
    <t>Z ENERGY LIMITED</t>
  </si>
  <si>
    <t>https://crd-app.companiesoffice.govt.nz/dashboard/reportingentity/scheme/?id=ff5ba035-8a94-ee11-be37-00224892b34a&amp;refentity=mbie_reportingentity&amp;refid=696c5ca5-8394-ee11-be37-00224892b34a&amp;refrel=mbie_Scheme_ReportingEntityId_mbie_Report</t>
  </si>
  <si>
    <t>AMP WEALTH MANAGEMENT NEW ZEALAND LIMITED</t>
  </si>
  <si>
    <t>AMP INVESTMENT TRUST (SCH10721)</t>
  </si>
  <si>
    <t>Investment Scheme</t>
  </si>
  <si>
    <t>https://crd-app.companiesoffice.govt.nz/dashboard/reportingentity/scheme/?id=fd5ba035-8a94-ee11-be37-00224892b34a&amp;refentity=mbie_reportingentity&amp;refid=696c5ca5-8394-ee11-be37-00224892b34a&amp;refrel=mbie_Scheme_ReportingEntityId_mbie_Report</t>
  </si>
  <si>
    <t>AMP KIWISAVER SCHEME (SCH10367)</t>
  </si>
  <si>
    <t>https://crd-app.companiesoffice.govt.nz/dashboard/reportingentity/scheme/?id=095ca035-8a94-ee11-be37-00224892b34a&amp;refentity=mbie_reportingentity&amp;refid=696c5ca5-8394-ee11-be37-00224892b34a&amp;refrel=mbie_Scheme_ReportingEntityId_mbie_Report</t>
  </si>
  <si>
    <t>AMP MANAGED FUNDS (SCH13265)</t>
  </si>
  <si>
    <t>https://crd-app.companiesoffice.govt.nz/dashboard/reportingentity/scheme/?id=035ca035-8a94-ee11-be37-00224892b34a&amp;refentity=mbie_reportingentity&amp;refid=696c5ca5-8394-ee11-be37-00224892b34a&amp;refrel=mbie_Scheme_ReportingEntityId_mbie_Report</t>
  </si>
  <si>
    <t>AMP PASSIVE PERSONAL RETIREMENT PLAN - INTERNATIONAL PASSIVE SHARES INVESTMENT FUND (SCH10821)</t>
  </si>
  <si>
    <t>https://crd-app.companiesoffice.govt.nz/dashboard/reportingentity/scheme/?id=055ca035-8a94-ee11-be37-00224892b34a&amp;refentity=mbie_reportingentity&amp;refid=696c5ca5-8394-ee11-be37-00224892b34a&amp;refrel=mbie_Scheme_ReportingEntityId_mbie_Report</t>
  </si>
  <si>
    <t>AMP PASSIVE PERSONAL RETIREMENT PLAN - NEW ZEALAND PASSIVE SHARES INVESTMENT FUND (SCH10822)</t>
  </si>
  <si>
    <t>https://crd-app.companiesoffice.govt.nz/dashboard/reportingentity/scheme/?id=015ca035-8a94-ee11-be37-00224892b34a&amp;refentity=mbie_reportingentity&amp;refid=696c5ca5-8394-ee11-be37-00224892b34a&amp;refrel=mbie_Scheme_ReportingEntityId_mbie_Report</t>
  </si>
  <si>
    <t>AMP PERSONAL RETIREMENT PLAN (SCH10820)</t>
  </si>
  <si>
    <t>https://crd-app.companiesoffice.govt.nz/dashboard/reportingentity/scheme/?id=075ca035-8a94-ee11-be37-00224892b34a&amp;refentity=mbie_reportingentity&amp;refid=696c5ca5-8394-ee11-be37-00224892b34a&amp;refrel=mbie_Scheme_ReportingEntityId_mbie_Report</t>
  </si>
  <si>
    <t>NEW ZEALAND RETIREMENT TRUST (SCH10911)</t>
  </si>
  <si>
    <t>https://crd-app.companiesoffice.govt.nz/dashboard/reportingentity/scheme/?id=0b5ca035-8a94-ee11-be37-00224892b34a&amp;refentity=mbie_reportingentity&amp;refid=6b6c5ca5-8394-ee11-be37-00224892b34a&amp;refrel=mbie_Scheme_ReportingEntityId_mbie_Report</t>
  </si>
  <si>
    <t>ANZ INVESTMENT SERVICES (NEW ZEALAND) LIMITED</t>
  </si>
  <si>
    <t>BONUS BONDS SCHEME (SCH11094)</t>
  </si>
  <si>
    <t>https://crd-app.companiesoffice.govt.nz/dashboard/reportingentity/scheme/?id=115ca035-8a94-ee11-be37-00224892b34a&amp;refentity=mbie_reportingentity&amp;refid=6d6c5ca5-8394-ee11-be37-00224892b34a&amp;refrel=mbie_Scheme_ReportingEntityId_mbie_Report</t>
  </si>
  <si>
    <t>ANZ NEW ZEALAND INVESTMENTS LIMITED</t>
  </si>
  <si>
    <t>ANZ DEFAULT KIWISAVER SCHEME (SCH11063)</t>
  </si>
  <si>
    <t>https://crd-app.companiesoffice.govt.nz/dashboard/reportingentity/scheme/?id=135ca035-8a94-ee11-be37-00224892b34a&amp;refentity=mbie_reportingentity&amp;refid=6d6c5ca5-8394-ee11-be37-00224892b34a&amp;refrel=mbie_Scheme_ReportingEntityId_mbie_Report</t>
  </si>
  <si>
    <t>ANZ INVESTMENTS MULTI-ASSET-CLASS SCHEME (MARKETED AS THE ANZ INVESTMENT FUNDS AND ONEANSWER MULTI-ASSET-CLASS FUNDS) (SCH11064)</t>
  </si>
  <si>
    <t>https://crd-app.companiesoffice.govt.nz/dashboard/reportingentity/scheme/?id=155ca035-8a94-ee11-be37-00224892b34a&amp;refentity=mbie_reportingentity&amp;refid=6d6c5ca5-8394-ee11-be37-00224892b34a&amp;refrel=mbie_Scheme_ReportingEntityId_mbie_Report</t>
  </si>
  <si>
    <t>ANZ INVESTMENTS SINGLE-ASSET-CLASS SCHEME (MARKETED AS THE ONEANSWER SINGLE-ASSET-CLASS FUNDS) (SCH11065)</t>
  </si>
  <si>
    <t>https://crd-app.companiesoffice.govt.nz/dashboard/reportingentity/scheme/?id=0f5ca035-8a94-ee11-be37-00224892b34a&amp;refentity=mbie_reportingentity&amp;refid=6d6c5ca5-8394-ee11-be37-00224892b34a&amp;refrel=mbie_Scheme_ReportingEntityId_mbie_Report</t>
  </si>
  <si>
    <t>ANZ KIWISAVER SCHEME (SCH11062)</t>
  </si>
  <si>
    <t>https://crd-app.companiesoffice.govt.nz/dashboard/reportingentity/scheme/?id=0d5ca035-8a94-ee11-be37-00224892b34a&amp;refentity=mbie_reportingentity&amp;refid=6d6c5ca5-8394-ee11-be37-00224892b34a&amp;refrel=mbie_Scheme_ReportingEntityId_mbie_Report</t>
  </si>
  <si>
    <t>ONEANSWER KIWISAVER SCHEME (SCH11061)</t>
  </si>
  <si>
    <t>https://crd-app.companiesoffice.govt.nz/dashboard/reportingentity/scheme/?id=195ca035-8a94-ee11-be37-00224892b34a&amp;refentity=mbie_reportingentity&amp;refid=6f6c5ca5-8394-ee11-be37-00224892b34a&amp;refrel=mbie_Scheme_ReportingEntityId_mbie_Report</t>
  </si>
  <si>
    <t>ASB GROUP INVESTMENTS LIMITED</t>
  </si>
  <si>
    <t>ASB INVESTMENT FUNDS (SCH10685)</t>
  </si>
  <si>
    <t>https://crd-app.companiesoffice.govt.nz/dashboard/reportingentity/scheme/?id=175ca035-8a94-ee11-be37-00224892b34a&amp;refentity=mbie_reportingentity&amp;refid=6f6c5ca5-8394-ee11-be37-00224892b34a&amp;refrel=mbie_Scheme_ReportingEntityId_mbie_Report</t>
  </si>
  <si>
    <t>ASB KIWISAVER SCHEME (SCH10678)</t>
  </si>
  <si>
    <t>https://crd-app.companiesoffice.govt.nz/dashboard/reportingentity/scheme/?id=1b5ca035-8a94-ee11-be37-00224892b34a&amp;refentity=mbie_reportingentity&amp;refid=716c5ca5-8394-ee11-be37-00224892b34a&amp;refrel=mbie_Scheme_ReportingEntityId_mbie_Report</t>
  </si>
  <si>
    <t>BNZ INVESTMENT SERVICES LIMITED</t>
  </si>
  <si>
    <t>BNZ KIWISAVER SCHEME (SCH10701)</t>
  </si>
  <si>
    <t>https://crd-app.companiesoffice.govt.nz/dashboard/reportingentity/scheme/?id=1d5ca035-8a94-ee11-be37-00224892b34a&amp;refentity=mbie_reportingentity&amp;refid=716c5ca5-8394-ee11-be37-00224892b34a&amp;refrel=mbie_Scheme_ReportingEntityId_mbie_Report</t>
  </si>
  <si>
    <t>PRIVATE WEALTH SERIES (SCH11384)</t>
  </si>
  <si>
    <t>https://crd-app.companiesoffice.govt.nz/dashboard/reportingentity/scheme/?id=1f5ca035-8a94-ee11-be37-00224892b34a&amp;refentity=mbie_reportingentity&amp;refid=716c5ca5-8394-ee11-be37-00224892b34a&amp;refrel=mbie_Scheme_ReportingEntityId_mbie_Report</t>
  </si>
  <si>
    <t>YOUWEALTH (SCH12341)</t>
  </si>
  <si>
    <t>https://crd-app.companiesoffice.govt.nz/dashboard/reportingentity/scheme/?id=295ca035-8a94-ee11-be37-00224892b34a&amp;refentity=mbie_reportingentity&amp;refid=736c5ca5-8394-ee11-be37-00224892b34a&amp;refrel=mbie_Scheme_ReportingEntityId_mbie_Report</t>
  </si>
  <si>
    <t>BOOSTER INVESTMENT MANAGEMENT LIMITED</t>
  </si>
  <si>
    <t>BOOSTER INNOVATION SCHEME (SCH13202)</t>
  </si>
  <si>
    <t>https://crd-app.companiesoffice.govt.nz/dashboard/reportingentity/scheme/?id=235ca035-8a94-ee11-be37-00224892b34a&amp;refentity=mbie_reportingentity&amp;refid=736c5ca5-8394-ee11-be37-00224892b34a&amp;refrel=mbie_Scheme_ReportingEntityId_mbie_Report</t>
  </si>
  <si>
    <t>BOOSTER INVESTMENT SCHEME (SCH10844)</t>
  </si>
  <si>
    <t>https://crd-app.companiesoffice.govt.nz/dashboard/reportingentity/scheme/?id=275ca035-8a94-ee11-be37-00224892b34a&amp;refentity=mbie_reportingentity&amp;refid=736c5ca5-8394-ee11-be37-00224892b34a&amp;refrel=mbie_Scheme_ReportingEntityId_mbie_Report</t>
  </si>
  <si>
    <t>BOOSTER INVESTMENT SCHEME 2 (SCH12548)</t>
  </si>
  <si>
    <t>https://crd-app.companiesoffice.govt.nz/dashboard/reportingentity/scheme/?id=215ca035-8a94-ee11-be37-00224892b34a&amp;refentity=mbie_reportingentity&amp;refid=736c5ca5-8394-ee11-be37-00224892b34a&amp;refrel=mbie_Scheme_ReportingEntityId_mbie_Report</t>
  </si>
  <si>
    <t>BOOSTER KIWISAVER SCHEME (SCH10841)</t>
  </si>
  <si>
    <t>https://crd-app.companiesoffice.govt.nz/dashboard/reportingentity/scheme/?id=2b5ca035-8a94-ee11-be37-00224892b34a&amp;refentity=mbie_reportingentity&amp;refid=736c5ca5-8394-ee11-be37-00224892b34a&amp;refrel=mbie_Scheme_ReportingEntityId_mbie_Report</t>
  </si>
  <si>
    <t>BOOSTER SAVVY SCHEME (SCH13546)</t>
  </si>
  <si>
    <t>https://crd-app.companiesoffice.govt.nz/dashboard/reportingentity/scheme/?id=255ca035-8a94-ee11-be37-00224892b34a&amp;refentity=mbie_reportingentity&amp;refid=736c5ca5-8394-ee11-be37-00224892b34a&amp;refrel=mbie_Scheme_ReportingEntityId_mbie_Report</t>
  </si>
  <si>
    <t>BOOSTER SUPERSCHEME (SCH11323)</t>
  </si>
  <si>
    <t>https://crd-app.companiesoffice.govt.nz/dashboard/reportingentity/scheme/?id=2d5ca035-8a94-ee11-be37-00224892b34a&amp;refentity=mbie_reportingentity&amp;refid=756c5ca5-8394-ee11-be37-00224892b34a&amp;refrel=mbie_Scheme_ReportingEntityId_mbie_Report</t>
  </si>
  <si>
    <t>BT FUNDS MANAGEMENT (NZ) LIMITED</t>
  </si>
  <si>
    <t>WESTPAC ACTIVE SERIES (SCH10564)</t>
  </si>
  <si>
    <t>https://crd-app.companiesoffice.govt.nz/dashboard/reportingentity/scheme/?id=2f5ca035-8a94-ee11-be37-00224892b34a&amp;refentity=mbie_reportingentity&amp;refid=756c5ca5-8394-ee11-be37-00224892b34a&amp;refrel=mbie_Scheme_ReportingEntityId_mbie_Report</t>
  </si>
  <si>
    <t>WESTPAC KIWISAVER SCHEME (SCH10585)</t>
  </si>
  <si>
    <t>https://crd-app.companiesoffice.govt.nz/dashboard/reportingentity/scheme/?id=315ca035-8a94-ee11-be37-00224892b34a&amp;refentity=mbie_reportingentity&amp;refid=756c5ca5-8394-ee11-be37-00224892b34a&amp;refrel=mbie_Scheme_ReportingEntityId_mbie_Report</t>
  </si>
  <si>
    <t>WESTPAC PREMIUM INVESTMENT FUNDS (SCH10817)</t>
  </si>
  <si>
    <t>https://crd-app.companiesoffice.govt.nz/dashboard/reportingentity/scheme/?id=335ca035-8a94-ee11-be37-00224892b34a&amp;refentity=mbie_reportingentity&amp;refid=756c5ca5-8394-ee11-be37-00224892b34a&amp;refrel=mbie_Scheme_ReportingEntityId_mbie_Report</t>
  </si>
  <si>
    <t>WESTPAC RETIREMENT PLAN (SCH11614)</t>
  </si>
  <si>
    <t>https://crd-app.companiesoffice.govt.nz/dashboard/reportingentity/scheme/?id=5b5ca035-8a94-ee11-be37-00224892b34a&amp;refentity=mbie_reportingentity&amp;refid=776c5ca5-8394-ee11-be37-00224892b34a&amp;refrel=mbie_Scheme_ReportingEntityId_mbie_Report</t>
  </si>
  <si>
    <t>CENTURIA FUNDS MANAGEMENT (NZ) LIMITED</t>
  </si>
  <si>
    <t>33 BROADWAY TRUST (SCH11912)</t>
  </si>
  <si>
    <t>https://crd-app.companiesoffice.govt.nz/dashboard/reportingentity/scheme/?id=595ca035-8a94-ee11-be37-00224892b34a&amp;refentity=mbie_reportingentity&amp;refid=776c5ca5-8394-ee11-be37-00224892b34a&amp;refrel=mbie_Scheme_ReportingEntityId_mbie_Report</t>
  </si>
  <si>
    <t>AIRPARK NOMINEES JOINT VENTURE (SCH11740)</t>
  </si>
  <si>
    <t>https://crd-app.companiesoffice.govt.nz/dashboard/reportingentity/scheme/?id=615ca035-8a94-ee11-be37-00224892b34a&amp;refentity=mbie_reportingentity&amp;refid=776c5ca5-8394-ee11-be37-00224892b34a&amp;refrel=mbie_Scheme_ReportingEntityId_mbie_Report</t>
  </si>
  <si>
    <t>AUGUSTA KEDRON PARTNERSHIP (SCH12564)</t>
  </si>
  <si>
    <t>https://crd-app.companiesoffice.govt.nz/dashboard/reportingentity/scheme/?id=5f5ca035-8a94-ee11-be37-00224892b34a&amp;refentity=mbie_reportingentity&amp;refid=776c5ca5-8394-ee11-be37-00224892b34a&amp;refrel=mbie_Scheme_ReportingEntityId_mbie_Report</t>
  </si>
  <si>
    <t>AUGUSTA ST GEORGES BAY ROAD PROPERTY TRUST (SCH12448)</t>
  </si>
  <si>
    <t>https://crd-app.companiesoffice.govt.nz/dashboard/reportingentity/scheme/?id=4d5ca035-8a94-ee11-be37-00224892b34a&amp;refentity=mbie_reportingentity&amp;refid=776c5ca5-8394-ee11-be37-00224892b34a&amp;refrel=mbie_Scheme_ReportingEntityId_mbie_Report</t>
  </si>
  <si>
    <t>BIRCH NOMINEES JOINT VENTURE (SCH11560)</t>
  </si>
  <si>
    <t>https://crd-app.companiesoffice.govt.nz/dashboard/reportingentity/scheme/?id=455ca035-8a94-ee11-be37-00224892b34a&amp;refentity=mbie_reportingentity&amp;refid=776c5ca5-8394-ee11-be37-00224892b34a&amp;refrel=mbie_Scheme_ReportingEntityId_mbie_Report</t>
  </si>
  <si>
    <t>BRADMAN STREET PROPORTIONATE OWNERSHIP SCHEME (SCH11503)</t>
  </si>
  <si>
    <t>https://crd-app.companiesoffice.govt.nz/dashboard/reportingentity/scheme/?id=375ca035-8a94-ee11-be37-00224892b34a&amp;refentity=mbie_reportingentity&amp;refid=776c5ca5-8394-ee11-be37-00224892b34a&amp;refrel=mbie_Scheme_ReportingEntityId_mbie_Report</t>
  </si>
  <si>
    <t>BUILDING A GRAHAM STREET LIMITED PARTNERSHIP (SCH10571)</t>
  </si>
  <si>
    <t>https://crd-app.companiesoffice.govt.nz/dashboard/reportingentity/scheme/?id=395ca035-8a94-ee11-be37-00224892b34a&amp;refentity=mbie_reportingentity&amp;refid=776c5ca5-8394-ee11-be37-00224892b34a&amp;refrel=mbie_Scheme_ReportingEntityId_mbie_Report</t>
  </si>
  <si>
    <t>BUILDING B GRAHAM STREET LIMITED PARTNERSHIP (SCH10922)</t>
  </si>
  <si>
    <t>https://crd-app.companiesoffice.govt.nz/dashboard/reportingentity/scheme/?id=635ca035-8a94-ee11-be37-00224892b34a&amp;refentity=mbie_reportingentity&amp;refid=776c5ca5-8394-ee11-be37-00224892b34a&amp;refrel=mbie_Scheme_ReportingEntityId_mbie_Report</t>
  </si>
  <si>
    <t>CENTURIA NZ PROPERTY FUND (SCH12900)</t>
  </si>
  <si>
    <t>https://crd-app.companiesoffice.govt.nz/dashboard/reportingentity/scheme/?id=4f5ca035-8a94-ee11-be37-00224892b34a&amp;refentity=mbie_reportingentity&amp;refid=776c5ca5-8394-ee11-be37-00224892b34a&amp;refrel=mbie_Scheme_ReportingEntityId_mbie_Report</t>
  </si>
  <si>
    <t>FERNHILL NOMINEES JOINT VENTURE (SCH11564)</t>
  </si>
  <si>
    <t>https://crd-app.companiesoffice.govt.nz/dashboard/reportingentity/scheme/?id=435ca035-8a94-ee11-be37-00224892b34a&amp;refentity=mbie_reportingentity&amp;refid=776c5ca5-8394-ee11-be37-00224892b34a&amp;refrel=mbie_Scheme_ReportingEntityId_mbie_Report</t>
  </si>
  <si>
    <t>FORMATION ST PROPORTIONATE OWNERSHIP SCHEME (SCH11478)</t>
  </si>
  <si>
    <t>https://crd-app.companiesoffice.govt.nz/dashboard/reportingentity/scheme/?id=3d5ca035-8a94-ee11-be37-00224892b34a&amp;refentity=mbie_reportingentity&amp;refid=776c5ca5-8394-ee11-be37-00224892b34a&amp;refrel=mbie_Scheme_ReportingEntityId_mbie_Report</t>
  </si>
  <si>
    <t>HIBISCUS NOMINEES JOINT VENTURES (SCH11466)</t>
  </si>
  <si>
    <t>https://crd-app.companiesoffice.govt.nz/dashboard/reportingentity/scheme/?id=535ca035-8a94-ee11-be37-00224892b34a&amp;refentity=mbie_reportingentity&amp;refid=776c5ca5-8394-ee11-be37-00224892b34a&amp;refrel=mbie_Scheme_ReportingEntityId_mbie_Report</t>
  </si>
  <si>
    <t>LAMBIE DR PROPERTY SCHEME (SCH11586)</t>
  </si>
  <si>
    <t>https://crd-app.companiesoffice.govt.nz/dashboard/reportingentity/scheme/?id=555ca035-8a94-ee11-be37-00224892b34a&amp;refentity=mbie_reportingentity&amp;refid=776c5ca5-8394-ee11-be37-00224892b34a&amp;refrel=mbie_Scheme_ReportingEntityId_mbie_Report</t>
  </si>
  <si>
    <t>LINK DR PROPERTY SCHEME (SCH11587)</t>
  </si>
  <si>
    <t>https://crd-app.companiesoffice.govt.nz/dashboard/reportingentity/scheme/?id=495ca035-8a94-ee11-be37-00224892b34a&amp;refentity=mbie_reportingentity&amp;refid=776c5ca5-8394-ee11-be37-00224892b34a&amp;refrel=mbie_Scheme_ReportingEntityId_mbie_Report</t>
  </si>
  <si>
    <t>MANADON STREET PROPERTY SCHEME (SCH11532)</t>
  </si>
  <si>
    <t>https://crd-app.companiesoffice.govt.nz/dashboard/reportingentity/scheme/?id=415ca035-8a94-ee11-be37-00224892b34a&amp;refentity=mbie_reportingentity&amp;refid=776c5ca5-8394-ee11-be37-00224892b34a&amp;refrel=mbie_Scheme_ReportingEntityId_mbie_Report</t>
  </si>
  <si>
    <t>PEACHGROVE ROAD LIMITED PARTNERSHIP (SCH11471)</t>
  </si>
  <si>
    <t>https://crd-app.companiesoffice.govt.nz/dashboard/reportingentity/scheme/?id=355ca035-8a94-ee11-be37-00224892b34a&amp;refentity=mbie_reportingentity&amp;refid=776c5ca5-8394-ee11-be37-00224892b34a&amp;refrel=mbie_Scheme_ReportingEntityId_mbie_Report</t>
  </si>
  <si>
    <t>QUINNS HILL ROAD PARTNERSHIP (SCH10523)</t>
  </si>
  <si>
    <t>https://crd-app.companiesoffice.govt.nz/dashboard/reportingentity/scheme/?id=3f5ca035-8a94-ee11-be37-00224892b34a&amp;refentity=mbie_reportingentity&amp;refid=776c5ca5-8394-ee11-be37-00224892b34a&amp;refrel=mbie_Scheme_ReportingEntityId_mbie_Report</t>
  </si>
  <si>
    <t>SHANDS ROAD LIMITED PARTNERSHIP (SCH11468)</t>
  </si>
  <si>
    <t>https://crd-app.companiesoffice.govt.nz/dashboard/reportingentity/scheme/?id=475ca035-8a94-ee11-be37-00224892b34a&amp;refentity=mbie_reportingentity&amp;refid=776c5ca5-8394-ee11-be37-00224892b34a&amp;refrel=mbie_Scheme_ReportingEntityId_mbie_Report</t>
  </si>
  <si>
    <t>SHERBROOKE RD PARTNERSHIP (SCH11507)</t>
  </si>
  <si>
    <t>https://crd-app.companiesoffice.govt.nz/dashboard/reportingentity/scheme/?id=5d5ca035-8a94-ee11-be37-00224892b34a&amp;refentity=mbie_reportingentity&amp;refid=776c5ca5-8394-ee11-be37-00224892b34a&amp;refrel=mbie_Scheme_ReportingEntityId_mbie_Report</t>
  </si>
  <si>
    <t>SIR WILLIAM PICKERING DRIVE LIMITED PARTNERSHIP (SCH12323)</t>
  </si>
  <si>
    <t>https://crd-app.companiesoffice.govt.nz/dashboard/reportingentity/scheme/?id=3b5ca035-8a94-ee11-be37-00224892b34a&amp;refentity=mbie_reportingentity&amp;refid=776c5ca5-8394-ee11-be37-00224892b34a&amp;refrel=mbie_Scheme_ReportingEntityId_mbie_Report</t>
  </si>
  <si>
    <t>TAKANINI NOMINEES JOINT VENTURE (SCH11465)</t>
  </si>
  <si>
    <t>https://crd-app.companiesoffice.govt.nz/dashboard/reportingentity/scheme/?id=4b5ca035-8a94-ee11-be37-00224892b34a&amp;refentity=mbie_reportingentity&amp;refid=776c5ca5-8394-ee11-be37-00224892b34a&amp;refrel=mbie_Scheme_ReportingEntityId_mbie_Report</t>
  </si>
  <si>
    <t>VICKERS ROAD PROPERTY SCHEME (SCH11556)</t>
  </si>
  <si>
    <t>https://crd-app.companiesoffice.govt.nz/dashboard/reportingentity/scheme/?id=575ca035-8a94-ee11-be37-00224892b34a&amp;refentity=mbie_reportingentity&amp;refid=776c5ca5-8394-ee11-be37-00224892b34a&amp;refrel=mbie_Scheme_ReportingEntityId_mbie_Report</t>
  </si>
  <si>
    <t>WESTPOINT PROPERTY SCHEME (SCH11602)</t>
  </si>
  <si>
    <t>https://crd-app.companiesoffice.govt.nz/dashboard/reportingentity/scheme/?id=515ca035-8a94-ee11-be37-00224892b34a&amp;refentity=mbie_reportingentity&amp;refid=776c5ca5-8394-ee11-be37-00224892b34a&amp;refrel=mbie_Scheme_ReportingEntityId_mbie_Report</t>
  </si>
  <si>
    <t>WILLIAMS STREET NOMINEES JOINT VENTURE (SCH11570)</t>
  </si>
  <si>
    <t>https://crd-app.companiesoffice.govt.nz/dashboard/reportingentity/scheme/?id=675ca035-8a94-ee11-be37-00224892b34a&amp;refentity=mbie_reportingentity&amp;refid=796c5ca5-8394-ee11-be37-00224892b34a&amp;refrel=mbie_Scheme_ReportingEntityId_mbie_Report</t>
  </si>
  <si>
    <t>FIRST MORTGAGE MANAGERS LIMITED</t>
  </si>
  <si>
    <t>FIRST MORTGAGE PIE TRUST (SCH10249)</t>
  </si>
  <si>
    <t>https://crd-app.companiesoffice.govt.nz/dashboard/reportingentity/scheme/?id=655ca035-8a94-ee11-be37-00224892b34a&amp;refentity=mbie_reportingentity&amp;refid=796c5ca5-8394-ee11-be37-00224892b34a&amp;refrel=mbie_Scheme_ReportingEntityId_mbie_Report</t>
  </si>
  <si>
    <t>FIRST MORTGAGE TRUST GROUP INVESTMENT FUND (SCH10239)</t>
  </si>
  <si>
    <t>https://crd-app.companiesoffice.govt.nz/dashboard/reportingentity/scheme/?id=735ca035-8a94-ee11-be37-00224892b34a&amp;refentity=mbie_reportingentity&amp;refid=7b6c5ca5-8394-ee11-be37-00224892b34a&amp;refrel=mbie_Scheme_ReportingEntityId_mbie_Report</t>
  </si>
  <si>
    <t>FISHER FUNDS MANAGEMENT LIMITED</t>
  </si>
  <si>
    <t>FISHER FUNDS INVESTMENT SERIES (SCH10642)</t>
  </si>
  <si>
    <t>https://crd-app.companiesoffice.govt.nz/dashboard/reportingentity/scheme/?id=6b5ca035-8a94-ee11-be37-00224892b34a&amp;refentity=mbie_reportingentity&amp;refid=7b6c5ca5-8394-ee11-be37-00224892b34a&amp;refrel=mbie_Scheme_ReportingEntityId_mbie_Report</t>
  </si>
  <si>
    <t>FISHER FUNDS KIWISAVER SCHEME (SCH10636)</t>
  </si>
  <si>
    <t>https://crd-app.companiesoffice.govt.nz/dashboard/reportingentity/scheme/?id=6d5ca035-8a94-ee11-be37-00224892b34a&amp;refentity=mbie_reportingentity&amp;refid=7b6c5ca5-8394-ee11-be37-00224892b34a&amp;refrel=mbie_Scheme_ReportingEntityId_mbie_Report</t>
  </si>
  <si>
    <t>FISHER FUNDS LIFESAVER PLAN (SCH10637)</t>
  </si>
  <si>
    <t>https://crd-app.companiesoffice.govt.nz/dashboard/reportingentity/scheme/?id=6f5ca035-8a94-ee11-be37-00224892b34a&amp;refentity=mbie_reportingentity&amp;refid=7b6c5ca5-8394-ee11-be37-00224892b34a&amp;refrel=mbie_Scheme_ReportingEntityId_mbie_Report</t>
  </si>
  <si>
    <t>FISHER FUNDS MANAGED FUNDS (SCH10640)</t>
  </si>
  <si>
    <t>https://crd-app.companiesoffice.govt.nz/dashboard/reportingentity/scheme/?id=715ca035-8a94-ee11-be37-00224892b34a&amp;refentity=mbie_reportingentity&amp;refid=7b6c5ca5-8394-ee11-be37-00224892b34a&amp;refrel=mbie_Scheme_ReportingEntityId_mbie_Report</t>
  </si>
  <si>
    <t>FISHER FUNDS PREMIUM SERVICE (SCH10641)</t>
  </si>
  <si>
    <t>https://crd-app.companiesoffice.govt.nz/dashboard/reportingentity/scheme/?id=695ca035-8a94-ee11-be37-00224892b34a&amp;refentity=mbie_reportingentity&amp;refid=7b6c5ca5-8394-ee11-be37-00224892b34a&amp;refrel=mbie_Scheme_ReportingEntityId_mbie_Report</t>
  </si>
  <si>
    <t>FISHER FUNDS TWO KIWISAVER SCHEME (SCH10597)</t>
  </si>
  <si>
    <t>https://crd-app.companiesoffice.govt.nz/dashboard/reportingentity/scheme/?id=755ca035-8a94-ee11-be37-00224892b34a&amp;refentity=mbie_reportingentity&amp;refid=7b6c5ca5-8394-ee11-be37-00224892b34a&amp;refrel=mbie_Scheme_ReportingEntityId_mbie_Report</t>
  </si>
  <si>
    <t>FUTUREPLAN (SCH11318)</t>
  </si>
  <si>
    <t>https://crd-app.companiesoffice.govt.nz/dashboard/reportingentity/scheme/?id=9f5ca035-8a94-ee11-be37-00224892b34a&amp;refentity=mbie_reportingentity&amp;refid=7d6c5ca5-8394-ee11-be37-00224892b34a&amp;refrel=mbie_Scheme_ReportingEntityId_mbie_Report</t>
  </si>
  <si>
    <t>FUNDROCK NZ LIMITED</t>
  </si>
  <si>
    <t>ACI FUNDS (SCH13499)</t>
  </si>
  <si>
    <t>https://crd-app.companiesoffice.govt.nz/dashboard/reportingentity/scheme/?id=7d5ca035-8a94-ee11-be37-00224892b34a&amp;refentity=mbie_reportingentity&amp;refid=7d6c5ca5-8394-ee11-be37-00224892b34a&amp;refrel=mbie_Scheme_ReportingEntityId_mbie_Report</t>
  </si>
  <si>
    <t>ANTIPODES INVESTMENT FUNDS (SCH12434)</t>
  </si>
  <si>
    <t>https://crd-app.companiesoffice.govt.nz/dashboard/reportingentity/scheme/?id=795ca035-8a94-ee11-be37-00224892b34a&amp;refentity=mbie_reportingentity&amp;refid=7d6c5ca5-8394-ee11-be37-00224892b34a&amp;refrel=mbie_Scheme_ReportingEntityId_mbie_Report</t>
  </si>
  <si>
    <t>APN INVESTMENT FUNDS SCHEME (SCH11734)</t>
  </si>
  <si>
    <t>https://crd-app.companiesoffice.govt.nz/dashboard/reportingentity/scheme/?id=875ca035-8a94-ee11-be37-00224892b34a&amp;refentity=mbie_reportingentity&amp;refid=7d6c5ca5-8394-ee11-be37-00224892b34a&amp;refrel=mbie_Scheme_ReportingEntityId_mbie_Report</t>
  </si>
  <si>
    <t>AURORA KIWISAVER SCHEME (SCH13055)</t>
  </si>
  <si>
    <t>https://crd-app.companiesoffice.govt.nz/dashboard/reportingentity/scheme/?id=9d5ca035-8a94-ee11-be37-00224892b34a&amp;refentity=mbie_reportingentity&amp;refid=7d6c5ca5-8394-ee11-be37-00224892b34a&amp;refrel=mbie_Scheme_ReportingEntityId_mbie_Report</t>
  </si>
  <si>
    <t>BENTHAM INVESTMENT FUNDS (SCH13506)</t>
  </si>
  <si>
    <t>https://crd-app.companiesoffice.govt.nz/dashboard/reportingentity/scheme/?id=895ca035-8a94-ee11-be37-00224892b34a&amp;refentity=mbie_reportingentity&amp;refid=7d6c5ca5-8394-ee11-be37-00224892b34a&amp;refrel=mbie_Scheme_ReportingEntityId_mbie_Report</t>
  </si>
  <si>
    <t>COLCHESTER INVESTMENT FUNDS (SCH13056)</t>
  </si>
  <si>
    <t>https://crd-app.companiesoffice.govt.nz/dashboard/reportingentity/scheme/?id=935ca035-8a94-ee11-be37-00224892b34a&amp;refentity=mbie_reportingentity&amp;refid=7d6c5ca5-8394-ee11-be37-00224892b34a&amp;refrel=mbie_Scheme_ReportingEntityId_mbie_Report</t>
  </si>
  <si>
    <t>COOLABAH INVESTMENT FUNDS (SCH13148)</t>
  </si>
  <si>
    <t>https://crd-app.companiesoffice.govt.nz/dashboard/reportingentity/scheme/?id=9b5ca035-8a94-ee11-be37-00224892b34a&amp;refentity=mbie_reportingentity&amp;refid=7d6c5ca5-8394-ee11-be37-00224892b34a&amp;refrel=mbie_Scheme_ReportingEntityId_mbie_Report</t>
  </si>
  <si>
    <t>DIMENSIONAL INVESTMENT FUNDS (SCH13317)</t>
  </si>
  <si>
    <t>https://crd-app.companiesoffice.govt.nz/dashboard/reportingentity/scheme/?id=8b5ca035-8a94-ee11-be37-00224892b34a&amp;refentity=mbie_reportingentity&amp;refid=7d6c5ca5-8394-ee11-be37-00224892b34a&amp;refrel=mbie_Scheme_ReportingEntityId_mbie_Report</t>
  </si>
  <si>
    <t>FIRST SENTIER INVESTORS (NZ) SCHEME (SCH13089)</t>
  </si>
  <si>
    <t>https://crd-app.companiesoffice.govt.nz/dashboard/reportingentity/scheme/?id=955ca035-8a94-ee11-be37-00224892b34a&amp;refentity=mbie_reportingentity&amp;refid=7d6c5ca5-8394-ee11-be37-00224892b34a&amp;refrel=mbie_Scheme_ReportingEntityId_mbie_Report</t>
  </si>
  <si>
    <t>FOUNDATION SERIES FUNDS (SCH13175)</t>
  </si>
  <si>
    <t>https://crd-app.companiesoffice.govt.nz/dashboard/reportingentity/scheme/?id=7b5ca035-8a94-ee11-be37-00224892b34a&amp;refentity=mbie_reportingentity&amp;refid=7d6c5ca5-8394-ee11-be37-00224892b34a&amp;refrel=mbie_Scheme_ReportingEntityId_mbie_Report</t>
  </si>
  <si>
    <t>FRANKLIN TEMPLETON INVESTMENT FUNDS (SCH12302)</t>
  </si>
  <si>
    <t>https://crd-app.companiesoffice.govt.nz/dashboard/reportingentity/scheme/?id=7f5ca035-8a94-ee11-be37-00224892b34a&amp;refentity=mbie_reportingentity&amp;refid=7d6c5ca5-8394-ee11-be37-00224892b34a&amp;refrel=mbie_Scheme_ReportingEntityId_mbie_Report</t>
  </si>
  <si>
    <t>HOBSON WEALTH INVESTMENT FUNDS (SCH12667)</t>
  </si>
  <si>
    <t>https://crd-app.companiesoffice.govt.nz/dashboard/reportingentity/scheme/?id=975ca035-8a94-ee11-be37-00224892b34a&amp;refentity=mbie_reportingentity&amp;refid=7d6c5ca5-8394-ee11-be37-00224892b34a&amp;refrel=mbie_Scheme_ReportingEntityId_mbie_Report</t>
  </si>
  <si>
    <t>HYPERION INVESTMENT FUNDS (SCH13281)</t>
  </si>
  <si>
    <t>https://crd-app.companiesoffice.govt.nz/dashboard/reportingentity/scheme/?id=835ca035-8a94-ee11-be37-00224892b34a&amp;refentity=mbie_reportingentity&amp;refid=7d6c5ca5-8394-ee11-be37-00224892b34a&amp;refrel=mbie_Scheme_ReportingEntityId_mbie_Report</t>
  </si>
  <si>
    <t>INVESTNOW KIWISAVER SCHEME (SCH12874)</t>
  </si>
  <si>
    <t>https://crd-app.companiesoffice.govt.nz/dashboard/reportingentity/scheme/?id=855ca035-8a94-ee11-be37-00224892b34a&amp;refentity=mbie_reportingentity&amp;refid=7d6c5ca5-8394-ee11-be37-00224892b34a&amp;refrel=mbie_Scheme_ReportingEntityId_mbie_Report</t>
  </si>
  <si>
    <t>LIGHTHOUSE INVESTMENT FUNDS (SCH13048)</t>
  </si>
  <si>
    <t>https://crd-app.companiesoffice.govt.nz/dashboard/reportingentity/scheme/?id=775ca035-8a94-ee11-be37-00224892b34a&amp;refentity=mbie_reportingentity&amp;refid=7d6c5ca5-8394-ee11-be37-00224892b34a&amp;refrel=mbie_Scheme_ReportingEntityId_mbie_Report</t>
  </si>
  <si>
    <t>RUSSELL INVESTMENT FUNDS (SCH10586)</t>
  </si>
  <si>
    <t>https://crd-app.companiesoffice.govt.nz/dashboard/reportingentity/scheme/?id=a15ca035-8a94-ee11-be37-00224892b34a&amp;refentity=mbie_reportingentity&amp;refid=7d6c5ca5-8394-ee11-be37-00224892b34a&amp;refrel=mbie_Scheme_ReportingEntityId_mbie_Report</t>
  </si>
  <si>
    <t>SCHRODER INVESTMENT FUNDS (SCH13639)</t>
  </si>
  <si>
    <t>https://crd-app.companiesoffice.govt.nz/dashboard/reportingentity/scheme/?id=8d5ca035-8a94-ee11-be37-00224892b34a&amp;refentity=mbie_reportingentity&amp;refid=7d6c5ca5-8394-ee11-be37-00224892b34a&amp;refrel=mbie_Scheme_ReportingEntityId_mbie_Report</t>
  </si>
  <si>
    <t>SQUIRREL INVESTMENT FUNDS (SCH13142)</t>
  </si>
  <si>
    <t>https://crd-app.companiesoffice.govt.nz/dashboard/reportingentity/scheme/?id=995ca035-8a94-ee11-be37-00224892b34a&amp;refentity=mbie_reportingentity&amp;refid=7d6c5ca5-8394-ee11-be37-00224892b34a&amp;refrel=mbie_Scheme_ReportingEntityId_mbie_Report</t>
  </si>
  <si>
    <t>STEWART INVESTORS (NZ) MANAGED INVESTMENT SCHEME (SCH13295)</t>
  </si>
  <si>
    <t>https://crd-app.companiesoffice.govt.nz/dashboard/reportingentity/scheme/?id=8f5ca035-8a94-ee11-be37-00224892b34a&amp;refentity=mbie_reportingentity&amp;refid=7d6c5ca5-8394-ee11-be37-00224892b34a&amp;refrel=mbie_Scheme_ReportingEntityId_mbie_Report</t>
  </si>
  <si>
    <t>TE AHUMAIRANGI INVESTMENT FUNDS (SCH13146)</t>
  </si>
  <si>
    <t>https://crd-app.companiesoffice.govt.nz/dashboard/reportingentity/scheme/?id=915ca035-8a94-ee11-be37-00224892b34a&amp;refentity=mbie_reportingentity&amp;refid=7d6c5ca5-8394-ee11-be37-00224892b34a&amp;refrel=mbie_Scheme_ReportingEntityId_mbie_Report</t>
  </si>
  <si>
    <t>VAULT DIGITAL FUNDS (SCH13147)</t>
  </si>
  <si>
    <t>https://crd-app.companiesoffice.govt.nz/dashboard/reportingentity/scheme/?id=815ca035-8a94-ee11-be37-00224892b34a&amp;refentity=mbie_reportingentity&amp;refid=7d6c5ca5-8394-ee11-be37-00224892b34a&amp;refrel=mbie_Scheme_ReportingEntityId_mbie_Report</t>
  </si>
  <si>
    <t>VISION INVEST NZ FUNDS (SCH12865)</t>
  </si>
  <si>
    <t>https://crd-app.companiesoffice.govt.nz/dashboard/reportingentity/scheme/?id=a35ca035-8a94-ee11-be37-00224892b34a&amp;refentity=mbie_reportingentity&amp;refid=7f6c5ca5-8394-ee11-be37-00224892b34a&amp;refrel=mbie_Scheme_ReportingEntityId_mbie_Report</t>
  </si>
  <si>
    <t>GENERATE INVESTMENT MANAGEMENT LIMITED</t>
  </si>
  <si>
    <t>GENERATE KIWISAVER SCHEME (SCH10791)</t>
  </si>
  <si>
    <t>https://crd-app.companiesoffice.govt.nz/dashboard/reportingentity/scheme/?id=a55ca035-8a94-ee11-be37-00224892b34a&amp;refentity=mbie_reportingentity&amp;refid=7f6c5ca5-8394-ee11-be37-00224892b34a&amp;refrel=mbie_Scheme_ReportingEntityId_mbie_Report</t>
  </si>
  <si>
    <t>GENERATE UNIT TRUST SCHEME (SCH12736)</t>
  </si>
  <si>
    <t>https://crd-app.companiesoffice.govt.nz/dashboard/reportingentity/scheme/?id=a75ca035-8a94-ee11-be37-00224892b34a&amp;refentity=mbie_reportingentity&amp;refid=816c5ca5-8394-ee11-be37-00224892b34a&amp;refrel=mbie_Scheme_ReportingEntityId_mbie_Report</t>
  </si>
  <si>
    <t>GOODMAN (NZ) LIMITED</t>
  </si>
  <si>
    <t>GOODMAN PROPERTY TRUST (SCH11225)</t>
  </si>
  <si>
    <t>https://crd-app.companiesoffice.govt.nz/dashboard/reportingentity/scheme/?id=a95ca035-8a94-ee11-be37-00224892b34a&amp;refentity=mbie_reportingentity&amp;refid=836c5ca5-8394-ee11-be37-00224892b34a&amp;refrel=mbie_Scheme_ReportingEntityId_mbie_Report</t>
  </si>
  <si>
    <t>HARBOUR ASSET MANAGEMENT LIMITED</t>
  </si>
  <si>
    <t>HARBOUR INVESTMENT FUNDS (SCH10815)</t>
  </si>
  <si>
    <t>https://crd-app.companiesoffice.govt.nz/dashboard/reportingentity/scheme/?id=ab5ca035-8a94-ee11-be37-00224892b34a&amp;refentity=mbie_reportingentity&amp;refid=836c5ca5-8394-ee11-be37-00224892b34a&amp;refrel=mbie_Scheme_ReportingEntityId_mbie_Report</t>
  </si>
  <si>
    <t>HUNTER INVESTMENT FUNDS (SCH11176)</t>
  </si>
  <si>
    <t>https://crd-app.companiesoffice.govt.nz/dashboard/reportingentity/scheme/?id=ad5ca035-8a94-ee11-be37-00224892b34a&amp;refentity=mbie_reportingentity&amp;refid=856c5ca5-8394-ee11-be37-00224892b34a&amp;refrel=mbie_Scheme_ReportingEntityId_mbie_Report</t>
  </si>
  <si>
    <t>KIWI WEALTH INVESTMENTS LIMITED PARTNERSHIP</t>
  </si>
  <si>
    <t>KIWI WEALTH SUPER SCHEME (SCH10814)</t>
  </si>
  <si>
    <t>https://crd-app.companiesoffice.govt.nz/dashboard/reportingentity/scheme/?id=af5ca035-8a94-ee11-be37-00224892b34a&amp;refentity=mbie_reportingentity&amp;refid=876c5ca5-8394-ee11-be37-00224892b34a&amp;refrel=mbie_Scheme_ReportingEntityId_mbie_Report</t>
  </si>
  <si>
    <t>KIWI WEALTH LIMITED</t>
  </si>
  <si>
    <t>KIWI WEALTH KIWISAVER SCHEME (SCH10713)</t>
  </si>
  <si>
    <t>https://crd-app.companiesoffice.govt.nz/dashboard/reportingentity/scheme/?id=b15ca035-8a94-ee11-be37-00224892b34a&amp;refentity=mbie_reportingentity&amp;refid=876c5ca5-8394-ee11-be37-00224892b34a&amp;refrel=mbie_Scheme_ReportingEntityId_mbie_Report</t>
  </si>
  <si>
    <t>KIWI WEALTH MANAGED FUNDS (SCH12389)</t>
  </si>
  <si>
    <t>https://crd-app.companiesoffice.govt.nz/dashboard/reportingentity/scheme/?id=b75ca035-8a94-ee11-be37-00224892b34a&amp;refentity=mbie_reportingentity&amp;refid=896c5ca5-8394-ee11-be37-00224892b34a&amp;refrel=mbie_Scheme_ReportingEntityId_mbie_Report</t>
  </si>
  <si>
    <t>MEDICAL FUNDS MANAGEMENT LIMITED</t>
  </si>
  <si>
    <t>MAS INVESTMENT FUNDSÂ  (SCH13659)</t>
  </si>
  <si>
    <t>https://crd-app.companiesoffice.govt.nz/dashboard/reportingentity/scheme/?id=b35ca035-8a94-ee11-be37-00224892b34a&amp;refentity=mbie_reportingentity&amp;refid=896c5ca5-8394-ee11-be37-00224892b34a&amp;refrel=mbie_Scheme_ReportingEntityId_mbie_Report</t>
  </si>
  <si>
    <t>MAS KIWISAVER SCHEME (SCH10705)</t>
  </si>
  <si>
    <t>https://crd-app.companiesoffice.govt.nz/dashboard/reportingentity/scheme/?id=b55ca035-8a94-ee11-be37-00224892b34a&amp;refentity=mbie_reportingentity&amp;refid=896c5ca5-8394-ee11-be37-00224892b34a&amp;refrel=mbie_Scheme_ReportingEntityId_mbie_Report</t>
  </si>
  <si>
    <t>MAS RETIREMENT SAVINGS SCHEME (SCH10706)</t>
  </si>
  <si>
    <t>https://crd-app.companiesoffice.govt.nz/dashboard/reportingentity/scheme/?id=c35ca035-8a94-ee11-be37-00224892b34a&amp;refentity=mbie_reportingentity&amp;refid=8b6c5ca5-8394-ee11-be37-00224892b34a&amp;refrel=mbie_Scheme_ReportingEntityId_mbie_Report</t>
  </si>
  <si>
    <t>MERCER (N.Z.) LIMITED</t>
  </si>
  <si>
    <t>DEFENCE FORCE SUPERANNUATION SCHEME (SCH11069)</t>
  </si>
  <si>
    <t>https://crd-app.companiesoffice.govt.nz/dashboard/reportingentity/scheme/?id=bf5ca035-8a94-ee11-be37-00224892b34a&amp;refentity=mbie_reportingentity&amp;refid=8b6c5ca5-8394-ee11-be37-00224892b34a&amp;refrel=mbie_Scheme_ReportingEntityId_mbie_Report</t>
  </si>
  <si>
    <t>MERCER FLEXISAVER (SCH10280)</t>
  </si>
  <si>
    <t>https://crd-app.companiesoffice.govt.nz/dashboard/reportingentity/scheme/?id=b95ca035-8a94-ee11-be37-00224892b34a&amp;refentity=mbie_reportingentity&amp;refid=8b6c5ca5-8394-ee11-be37-00224892b34a&amp;refrel=mbie_Scheme_ReportingEntityId_mbie_Report</t>
  </si>
  <si>
    <t>MERCER INVESTMENT FUNDS (SCH10307)</t>
  </si>
  <si>
    <t>https://crd-app.companiesoffice.govt.nz/dashboard/reportingentity/scheme/?id=bb5ca035-8a94-ee11-be37-00224892b34a&amp;refentity=mbie_reportingentity&amp;refid=8b6c5ca5-8394-ee11-be37-00224892b34a&amp;refrel=mbie_Scheme_ReportingEntityId_mbie_Report</t>
  </si>
  <si>
    <t>MERCER KIWISAVER SCHEME (SCH10245)</t>
  </si>
  <si>
    <t>https://crd-app.companiesoffice.govt.nz/dashboard/reportingentity/scheme/?id=c15ca035-8a94-ee11-be37-00224892b34a&amp;refentity=mbie_reportingentity&amp;refid=8b6c5ca5-8394-ee11-be37-00224892b34a&amp;refrel=mbie_Scheme_ReportingEntityId_mbie_Report</t>
  </si>
  <si>
    <t>MERCER SUPER TRUST (SCH10697)</t>
  </si>
  <si>
    <t>https://crd-app.companiesoffice.govt.nz/dashboard/reportingentity/scheme/?id=bd5ca035-8a94-ee11-be37-00224892b34a&amp;refentity=mbie_reportingentity&amp;refid=8b6c5ca5-8394-ee11-be37-00224892b34a&amp;refrel=mbie_Scheme_ReportingEntityId_mbie_Report</t>
  </si>
  <si>
    <t>NEW ZEALAND DEFENCE FORCE KIWISAVER SCHEME (SCH10279)</t>
  </si>
  <si>
    <t>https://crd-app.companiesoffice.govt.nz/dashboard/reportingentity/scheme/?id=c75ca035-8a94-ee11-be37-00224892b34a&amp;refentity=mbie_reportingentity&amp;refid=8d6c5ca5-8394-ee11-be37-00224892b34a&amp;refrel=mbie_Scheme_ReportingEntityId_mbie_Report</t>
  </si>
  <si>
    <t>MILFORD FUNDS LIMITED</t>
  </si>
  <si>
    <t>MILFORD INVESTMENT FUNDS (SCH10700)</t>
  </si>
  <si>
    <t>https://crd-app.companiesoffice.govt.nz/dashboard/reportingentity/scheme/?id=c55ca035-8a94-ee11-be37-00224892b34a&amp;refentity=mbie_reportingentity&amp;refid=8d6c5ca5-8394-ee11-be37-00224892b34a&amp;refrel=mbie_Scheme_ReportingEntityId_mbie_Report</t>
  </si>
  <si>
    <t>MILFORD KIWISAVER PLAN (SCH10498)</t>
  </si>
  <si>
    <t>https://crd-app.companiesoffice.govt.nz/dashboard/reportingentity/scheme/?id=c95ca035-8a94-ee11-be37-00224892b34a&amp;refentity=mbie_reportingentity&amp;refid=8f6c5ca5-8394-ee11-be37-00224892b34a&amp;refrel=mbie_Scheme_ReportingEntityId_mbie_Report</t>
  </si>
  <si>
    <t>NEW ZEALAND FUNDS MANAGEMENT LIMITED</t>
  </si>
  <si>
    <t>NZ FUNDS KIWISAVER SCHEME (SCH10783)</t>
  </si>
  <si>
    <t>https://crd-app.companiesoffice.govt.nz/dashboard/reportingentity/scheme/?id=cb5ca035-8a94-ee11-be37-00224892b34a&amp;refentity=mbie_reportingentity&amp;refid=8f6c5ca5-8394-ee11-be37-00224892b34a&amp;refrel=mbie_Scheme_ReportingEntityId_mbie_Report</t>
  </si>
  <si>
    <t>NZ FUNDS MANAGED PORTFOLIO SERVICE PART ONE (SCH10786)</t>
  </si>
  <si>
    <t>https://crd-app.companiesoffice.govt.nz/dashboard/reportingentity/scheme/?id=cd5ca035-8a94-ee11-be37-00224892b34a&amp;refentity=mbie_reportingentity&amp;refid=8f6c5ca5-8394-ee11-be37-00224892b34a&amp;refrel=mbie_Scheme_ReportingEntityId_mbie_Report</t>
  </si>
  <si>
    <t>NZ FUNDS MANAGED PORTFOLIO SERVICE PART TWO (SCH10803)</t>
  </si>
  <si>
    <t>https://crd-app.companiesoffice.govt.nz/dashboard/reportingentity/scheme/?id=cf5ca035-8a94-ee11-be37-00224892b34a&amp;refentity=mbie_reportingentity&amp;refid=8f6c5ca5-8394-ee11-be37-00224892b34a&amp;refrel=mbie_Scheme_ReportingEntityId_mbie_Report</t>
  </si>
  <si>
    <t>NZ FUNDS MANAGED SUPERANNUATION SERVICE (SCH11205)</t>
  </si>
  <si>
    <t>https://crd-app.companiesoffice.govt.nz/dashboard/reportingentity/scheme/?id=d35ca035-8a94-ee11-be37-00224892b34a&amp;refentity=mbie_reportingentity&amp;refid=916c5ca5-8394-ee11-be37-00224892b34a&amp;refrel=mbie_Scheme_ReportingEntityId_mbie_Report</t>
  </si>
  <si>
    <t>NIKKO ASSET MANAGEMENT NEW ZEALAND LIMITED</t>
  </si>
  <si>
    <t>NIKKO AM KIWISAVER SCHEME (SCH12354)</t>
  </si>
  <si>
    <t>https://crd-app.companiesoffice.govt.nz/dashboard/reportingentity/scheme/?id=d15ca035-8a94-ee11-be37-00224892b34a&amp;refentity=mbie_reportingentity&amp;refid=916c5ca5-8394-ee11-be37-00224892b34a&amp;refrel=mbie_Scheme_ReportingEntityId_mbie_Report</t>
  </si>
  <si>
    <t>NIKKO AM NZ INVESTMENT SCHEME (SCH10488)</t>
  </si>
  <si>
    <t>https://crd-app.companiesoffice.govt.nz/dashboard/reportingentity/scheme/?id=d55ca035-8a94-ee11-be37-00224892b34a&amp;refentity=mbie_reportingentity&amp;refid=936c5ca5-8394-ee11-be37-00224892b34a&amp;refrel=mbie_Scheme_ReportingEntityId_mbie_Report</t>
  </si>
  <si>
    <t>NORTHWEST HEALTHCARE PROPERTIES MANAGEMENT LIMITED</t>
  </si>
  <si>
    <t>VITAL HEALTHCARE PROPERTY TRUST (SCH11214)</t>
  </si>
  <si>
    <t>https://crd-app.companiesoffice.govt.nz/dashboard/reportingentity/scheme/?id=d95ca035-8a94-ee11-be37-00224892b34a&amp;refentity=mbie_reportingentity&amp;refid=956c5ca5-8394-ee11-be37-00224892b34a&amp;refrel=mbie_Scheme_ReportingEntityId_mbie_Report</t>
  </si>
  <si>
    <t>PIE FUNDS MANAGEMENT LIMITED</t>
  </si>
  <si>
    <t>JUNO KIWISAVER SCHEME (SCH12451)</t>
  </si>
  <si>
    <t>https://crd-app.companiesoffice.govt.nz/dashboard/reportingentity/scheme/?id=d75ca035-8a94-ee11-be37-00224892b34a&amp;refentity=mbie_reportingentity&amp;refid=956c5ca5-8394-ee11-be37-00224892b34a&amp;refrel=mbie_Scheme_ReportingEntityId_mbie_Report</t>
  </si>
  <si>
    <t>PIE FUNDS MANAGEMENT SCHEME (SCH10581)</t>
  </si>
  <si>
    <t>https://crd-app.companiesoffice.govt.nz/dashboard/reportingentity/scheme/?id=dd5ca035-8a94-ee11-be37-00224892b34a&amp;refentity=mbie_reportingentity&amp;refid=976c5ca5-8394-ee11-be37-00224892b34a&amp;refrel=mbie_Scheme_ReportingEntityId_mbie_Report</t>
  </si>
  <si>
    <t>SIMPLICITY NZ LIMITED</t>
  </si>
  <si>
    <t>SIMPLICITY INVESTMENT FUNDS (SCH11873)</t>
  </si>
  <si>
    <t>https://crd-app.companiesoffice.govt.nz/dashboard/reportingentity/scheme/?id=db5ca035-8a94-ee11-be37-00224892b34a&amp;refentity=mbie_reportingentity&amp;refid=976c5ca5-8394-ee11-be37-00224892b34a&amp;refrel=mbie_Scheme_ReportingEntityId_mbie_Report</t>
  </si>
  <si>
    <t>SIMPLICITY KIWISAVER SCHEME (SCH10736)</t>
  </si>
  <si>
    <t>https://crd-app.companiesoffice.govt.nz/dashboard/reportingentity/scheme/?id=e75ca035-8a94-ee11-be37-00224892b34a&amp;refentity=mbie_reportingentity&amp;refid=996c5ca5-8394-ee11-be37-00224892b34a&amp;refrel=mbie_Scheme_ReportingEntityId_mbie_Report</t>
  </si>
  <si>
    <t>SMARTSHARES LIMITED</t>
  </si>
  <si>
    <t>NZ CORE EQUITY TRUST (SCH10764)</t>
  </si>
  <si>
    <t>https://crd-app.companiesoffice.govt.nz/dashboard/reportingentity/scheme/?id=df5ca035-8a94-ee11-be37-00224892b34a&amp;refentity=mbie_reportingentity&amp;refid=996c5ca5-8394-ee11-be37-00224892b34a&amp;refrel=mbie_Scheme_ReportingEntityId_mbie_Report</t>
  </si>
  <si>
    <t>QUAYSTREET FUNDS (SCH10414)</t>
  </si>
  <si>
    <t>https://crd-app.companiesoffice.govt.nz/dashboard/reportingentity/scheme/?id=e15ca035-8a94-ee11-be37-00224892b34a&amp;refentity=mbie_reportingentity&amp;refid=996c5ca5-8394-ee11-be37-00224892b34a&amp;refrel=mbie_Scheme_ReportingEntityId_mbie_Report</t>
  </si>
  <si>
    <t>QUAYSTREET KIWISAVER SCHEME (SCH10663)</t>
  </si>
  <si>
    <t>https://crd-app.companiesoffice.govt.nz/dashboard/reportingentity/scheme/?id=f15ca035-8a94-ee11-be37-00224892b34a&amp;refentity=mbie_reportingentity&amp;refid=996c5ca5-8394-ee11-be37-00224892b34a&amp;refrel=mbie_Scheme_ReportingEntityId_mbie_Report</t>
  </si>
  <si>
    <t>SELECT KIWISAVER SCHEME (SCH13004)</t>
  </si>
  <si>
    <t>https://crd-app.companiesoffice.govt.nz/dashboard/reportingentity/scheme/?id=e55ca035-8a94-ee11-be37-00224892b34a&amp;refentity=mbie_reportingentity&amp;refid=996c5ca5-8394-ee11-be37-00224892b34a&amp;refrel=mbie_Scheme_ReportingEntityId_mbie_Report</t>
  </si>
  <si>
    <t>SMARTSHARES EXCHANGE TRADED FUNDS (SCH10752)</t>
  </si>
  <si>
    <t>https://crd-app.companiesoffice.govt.nz/dashboard/reportingentity/scheme/?id=e95ca035-8a94-ee11-be37-00224892b34a&amp;refentity=mbie_reportingentity&amp;refid=996c5ca5-8394-ee11-be37-00224892b34a&amp;refrel=mbie_Scheme_ReportingEntityId_mbie_Report</t>
  </si>
  <si>
    <t>SUPERLIFE INVEST (SCH10765)</t>
  </si>
  <si>
    <t>https://crd-app.companiesoffice.govt.nz/dashboard/reportingentity/scheme/?id=ed5ca035-8a94-ee11-be37-00224892b34a&amp;refentity=mbie_reportingentity&amp;refid=996c5ca5-8394-ee11-be37-00224892b34a&amp;refrel=mbie_Scheme_ReportingEntityId_mbie_Report</t>
  </si>
  <si>
    <t>SUPERLIFE KIWISAVER SCHEME (SCH10768)</t>
  </si>
  <si>
    <t>https://crd-app.companiesoffice.govt.nz/dashboard/reportingentity/scheme/?id=e35ca035-8a94-ee11-be37-00224892b34a&amp;refentity=mbie_reportingentity&amp;refid=996c5ca5-8394-ee11-be37-00224892b34a&amp;refrel=mbie_Scheme_ReportingEntityId_mbie_Report</t>
  </si>
  <si>
    <t>SUPERLIFE SUPERANNUATION MASTER TRUST (SCH10688)</t>
  </si>
  <si>
    <t>https://crd-app.companiesoffice.govt.nz/dashboard/reportingentity/scheme/?id=eb5ca035-8a94-ee11-be37-00224892b34a&amp;refentity=mbie_reportingentity&amp;refid=996c5ca5-8394-ee11-be37-00224892b34a&amp;refrel=mbie_Scheme_ReportingEntityId_mbie_Report</t>
  </si>
  <si>
    <t>SUPERLIFE UK PENSION TRANSFER SCHEME (SCH10767)</t>
  </si>
  <si>
    <t>https://crd-app.companiesoffice.govt.nz/dashboard/reportingentity/scheme/?id=ef5ca035-8a94-ee11-be37-00224892b34a&amp;refentity=mbie_reportingentity&amp;refid=996c5ca5-8394-ee11-be37-00224892b34a&amp;refrel=mbie_Scheme_ReportingEntityId_mbie_Report</t>
  </si>
  <si>
    <t>SUPERLIFE WORKPLACE SAVINGS SCHEME (SCH10769)</t>
  </si>
  <si>
    <t>no data</t>
  </si>
  <si>
    <t>Grand Total</t>
  </si>
  <si>
    <t>https://crd-app.companiesoffice.govt.nz/dashboard/reportingentity/?id=0aac69fc-3208-ef11-9f89-002248954af0</t>
  </si>
  <si>
    <t>FONTERRA CO-OPERATIVE GROUP LIMITED</t>
  </si>
  <si>
    <t>https://crd-app.companiesoffice.govt.nz/dashboard/reportingentity/?id=385d6603-b306-ef11-9f89-00224898287c</t>
  </si>
  <si>
    <t>GENTRACK GROUP LIMITED</t>
  </si>
  <si>
    <t>https://crd-app.companiesoffice.govt.nz/dashboard/reportingentity/?id=fc725750-bc06-ef11-9f89-00224898287c</t>
  </si>
  <si>
    <t>KMD BRANDS LIMITED</t>
  </si>
  <si>
    <t>https://crd-app.companiesoffice.govt.nz/dashboard/reportingentity/?id=e1105693-c006-ef11-9f89-00224898287c</t>
  </si>
  <si>
    <t>SANFORD LIMITED</t>
  </si>
  <si>
    <t>file_name</t>
  </si>
  <si>
    <t>pages_num</t>
  </si>
  <si>
    <t>number_characters</t>
  </si>
  <si>
    <t>number_words</t>
  </si>
  <si>
    <t>negative</t>
  </si>
  <si>
    <t>neutral</t>
  </si>
  <si>
    <t>positive</t>
  </si>
  <si>
    <t>compound</t>
  </si>
  <si>
    <t>2023 12 31 - PFI - Climate-related Disclosures - Signed.pdf</t>
  </si>
  <si>
    <t>2023 Climate Statements for Citibank N.A. (New Zealand Branch).pdf</t>
  </si>
  <si>
    <t>AIA NZ Climate Related Disclosers Report FINAL_signed.pdf</t>
  </si>
  <si>
    <t>Bank of China (New Zealand) Limited Climate Related Disclosure for the year ended 31 December 2023.pdf</t>
  </si>
  <si>
    <t>Bank of China New Zealand Banking Group Climate Related Disclosure for the year ended 31 December 2023.pdf.pdf</t>
  </si>
  <si>
    <t>BNZ_2023-Climate-Report.pdf</t>
  </si>
  <si>
    <t>Briscoe Group 2024 Annual Report.pdf</t>
  </si>
  <si>
    <t>CDL0017_Climate_Related_Disclosures_2023.pdf</t>
  </si>
  <si>
    <t>Chubb Life Insurance New Zealand Limited Climate Disclosure 2023.pdf</t>
  </si>
  <si>
    <t>Citibank N.A. (New Zealand Branch) - Statement - 29 APRIL 2024 .pdf</t>
  </si>
  <si>
    <t>Climate-Report-2023-Westpac-NZ.pdf</t>
  </si>
  <si>
    <t>CRD 2023 CEO Declaration.pdf</t>
  </si>
  <si>
    <t>HSBC NZ 2023 Climate Statement lodgement letter - signed.pdf</t>
  </si>
  <si>
    <t>ICBC Ltd CRD 31 Dec 23  Final - For submission.pdf</t>
  </si>
  <si>
    <t>ICBC NZ Ltd CRD 31 Dec 2023.pdf</t>
  </si>
  <si>
    <t>kiwibank_sustainability_report2023.pdf</t>
  </si>
  <si>
    <t>MIL0019_Climate_Related_Disclosures_2023.pdf</t>
  </si>
  <si>
    <t>NZL Climate Related Disclosure.pdf</t>
  </si>
  <si>
    <t>nzm-cs-dec-2023.pdf</t>
  </si>
  <si>
    <t>NZME Annual Report 2023 (including climate statement).pdf</t>
  </si>
  <si>
    <t>NZX Annual Report 2023 (including climate statement).pdf</t>
  </si>
  <si>
    <t>QBE_NZ Climate Statement.pdf</t>
  </si>
  <si>
    <t>RBD 2023 CRD.pdf</t>
  </si>
  <si>
    <t>Resilient infrastructure for a decarbonising world (7) - FINAL 28.02.24 9.30pm.pdf</t>
  </si>
  <si>
    <t>RLAL-NZ Climate-Related Disclosures 2023.pdf</t>
  </si>
  <si>
    <t>SC9600 Climate Related Disclosure Final Copy.pdf</t>
  </si>
  <si>
    <t>Seeka Limited Climate Disclosure 2023.pdf</t>
  </si>
  <si>
    <t>SRLHA NZ CRD Statement_signed.pdf</t>
  </si>
  <si>
    <t>Sustainability Review &amp; Climate Related Disclosures - FY23.pdf</t>
  </si>
  <si>
    <t>TGG_ClimateRelatedDisclosure.pdf</t>
  </si>
  <si>
    <t>Ventia - 2023 Sustainability Report.pdf</t>
  </si>
  <si>
    <t>Vista Group 2023 Group Climate Statement.pdf</t>
  </si>
  <si>
    <t>Z Climate Statements 2023 - FINAL.pdf</t>
  </si>
  <si>
    <t>company</t>
  </si>
  <si>
    <t>WESTPAC</t>
  </si>
  <si>
    <t>statement</t>
  </si>
  <si>
    <t>not a statement</t>
  </si>
  <si>
    <t>industry</t>
  </si>
  <si>
    <t>readable</t>
  </si>
  <si>
    <t>Readable</t>
  </si>
  <si>
    <t>ANZ_climate-report-2023.pdf</t>
  </si>
  <si>
    <t>Nonreadable</t>
  </si>
  <si>
    <t>asb-climate-report-2022.pdf</t>
  </si>
  <si>
    <t>CCBNZBG Climate Report for the year ended 31 December 2023.pdf</t>
  </si>
  <si>
    <t>CCBNZL Climate Report for the year ended 31 December 2023.pdf</t>
  </si>
  <si>
    <t>Rabobank New Zealand Banking Group 2023 Climate Statements.pdf</t>
  </si>
  <si>
    <t>Rabobank New Zealand Limited 2023 Climate Statements.pdf</t>
  </si>
  <si>
    <t>Consumer</t>
  </si>
  <si>
    <t>Energy</t>
  </si>
  <si>
    <t>Insurance</t>
  </si>
  <si>
    <t>Real Estate</t>
  </si>
  <si>
    <t>industry_large group</t>
  </si>
  <si>
    <t>Industry</t>
  </si>
  <si>
    <t>Status on April</t>
  </si>
  <si>
    <t>Food/agricuture</t>
  </si>
  <si>
    <t>Telecommunication &amp; Technology</t>
  </si>
  <si>
    <t>Other</t>
  </si>
  <si>
    <t>count</t>
  </si>
  <si>
    <t>duedate</t>
  </si>
  <si>
    <t>duemonth</t>
  </si>
  <si>
    <t>Number of firms</t>
  </si>
  <si>
    <t>Number of firms -investment schemes</t>
  </si>
  <si>
    <t>count_firm</t>
  </si>
  <si>
    <t>Status of Submission</t>
  </si>
  <si>
    <t>Total</t>
  </si>
  <si>
    <t>Number of reported firms</t>
  </si>
  <si>
    <t>Financial Sector</t>
  </si>
  <si>
    <t>Australian/Nz Bank</t>
  </si>
  <si>
    <t>Finance</t>
  </si>
  <si>
    <t>Foreign Bank</t>
  </si>
  <si>
    <t>Investment</t>
  </si>
  <si>
    <t>Food/Agriculture</t>
  </si>
  <si>
    <t>Technology </t>
  </si>
  <si>
    <t>Telecommunications </t>
  </si>
  <si>
    <t>Government</t>
  </si>
  <si>
    <t>Healthcare</t>
  </si>
  <si>
    <t>Manufacturing</t>
  </si>
  <si>
    <t>Transportation</t>
  </si>
  <si>
    <t>%</t>
  </si>
  <si>
    <t>Hotel/Restaurant/Tourism</t>
  </si>
  <si>
    <t>Airport/infrastructure</t>
  </si>
  <si>
    <t>Agricuture</t>
  </si>
  <si>
    <t>Number of unreported firms</t>
  </si>
  <si>
    <t>Telecommunication &amp; Technology &amp; Healthcare</t>
  </si>
  <si>
    <t>Table 1: Breakdown by status of submission</t>
  </si>
  <si>
    <t>Table 2: Breakdown by industry</t>
  </si>
  <si>
    <t>Sector</t>
  </si>
  <si>
    <t>Table 3: Breakdown by sector</t>
  </si>
  <si>
    <t>category</t>
  </si>
  <si>
    <t>climate statement</t>
  </si>
  <si>
    <t>Annual report</t>
  </si>
  <si>
    <t>sustainability report</t>
  </si>
  <si>
    <t>Type</t>
  </si>
  <si>
    <t>Climate statement</t>
  </si>
  <si>
    <t>Have their own climate statement</t>
  </si>
  <si>
    <t>Included in annual report</t>
  </si>
  <si>
    <t>Included in sustainability report</t>
  </si>
  <si>
    <t>Number of reports</t>
  </si>
  <si>
    <t>Average pages</t>
  </si>
  <si>
    <t>Average words</t>
  </si>
  <si>
    <t>Average words per page</t>
  </si>
  <si>
    <t>This shows the comprensiveness</t>
  </si>
  <si>
    <t>Table 4: Sentiment Analysis</t>
  </si>
  <si>
    <t>Negative</t>
  </si>
  <si>
    <t>Neutral</t>
  </si>
  <si>
    <t>Positive</t>
  </si>
  <si>
    <t>Compound</t>
  </si>
  <si>
    <t>Table 3: Comprehensiveness</t>
  </si>
  <si>
    <t>Table 3: Climate Statement</t>
  </si>
  <si>
    <t>Average</t>
  </si>
  <si>
    <t>Finance/investment</t>
  </si>
  <si>
    <t>Australian/NZ Bank</t>
  </si>
  <si>
    <t>Property</t>
  </si>
  <si>
    <t>Age Care</t>
  </si>
  <si>
    <t>Building</t>
  </si>
  <si>
    <t>IT</t>
  </si>
  <si>
    <t>Reporting firms breakdown by industry</t>
  </si>
  <si>
    <t>Financial sector</t>
  </si>
  <si>
    <t xml:space="preserve">Z ENERGY </t>
  </si>
  <si>
    <t xml:space="preserve">T&amp;G GLOBAL </t>
  </si>
  <si>
    <t xml:space="preserve">BRISCOE GROUP </t>
  </si>
  <si>
    <t xml:space="preserve">PROPERTY FOR INDUSTRY </t>
  </si>
  <si>
    <t xml:space="preserve">CHANNEL INFRASTRUCTURE NZ </t>
  </si>
  <si>
    <t xml:space="preserve">SUMMERSET GROUP HOLDINGS </t>
  </si>
  <si>
    <t xml:space="preserve">MILLENNIUM &amp; COPTHORNE HOTELS NEW ZEALAND </t>
  </si>
  <si>
    <t xml:space="preserve">NEW ZEALAND RURAL LAND COMPANY </t>
  </si>
  <si>
    <t xml:space="preserve">NZME </t>
  </si>
  <si>
    <t xml:space="preserve">RESTAURANT BRANDS NEW ZEALAND </t>
  </si>
  <si>
    <t xml:space="preserve">SCALES CORPORATION </t>
  </si>
  <si>
    <t xml:space="preserve">SEEKA </t>
  </si>
  <si>
    <t xml:space="preserve">VENTIA SERVICES GROUP </t>
  </si>
  <si>
    <t xml:space="preserve">INDUSTRIAL AND COMMERCIAL BANK OF CHINA </t>
  </si>
  <si>
    <t xml:space="preserve">VISTA GROUP INTERNATIONAL </t>
  </si>
  <si>
    <t xml:space="preserve">NZX </t>
  </si>
  <si>
    <t xml:space="preserve">QBE INSURANCE (AUSTRALIA) </t>
  </si>
  <si>
    <t xml:space="preserve">RESOLUTION LIFE AUSTRALASIA </t>
  </si>
  <si>
    <t xml:space="preserve">SWISS RE LIFE &amp; HEALTH AUSTRALIA </t>
  </si>
  <si>
    <t xml:space="preserve">THE HONGKONG AND SHANGHAI BANKING CORPORATION </t>
  </si>
  <si>
    <t xml:space="preserve">AIA NZ </t>
  </si>
  <si>
    <t xml:space="preserve">BANK OF CHINA (NZ) </t>
  </si>
  <si>
    <t xml:space="preserve">CDL INVESTMENTS NZ </t>
  </si>
  <si>
    <t xml:space="preserve">CHINA CONSTRUCTION BANK (NZ) </t>
  </si>
  <si>
    <t xml:space="preserve">CHUBB LIFE INSURANCE NZ </t>
  </si>
  <si>
    <t xml:space="preserve">INDUSTRIAL AND COMMERCIAL BANK OF CHINA (NZ) </t>
  </si>
  <si>
    <t xml:space="preserve">RABOBANK NZ </t>
  </si>
  <si>
    <t>RealStatement</t>
  </si>
  <si>
    <t>letter</t>
  </si>
  <si>
    <t>Addiitonal</t>
  </si>
  <si>
    <t>Yes</t>
  </si>
  <si>
    <t>Westpac</t>
  </si>
  <si>
    <t>Category</t>
  </si>
  <si>
    <t>It</t>
  </si>
  <si>
    <t>Food/Agricuture</t>
  </si>
  <si>
    <t>Airport/Infrastructure</t>
  </si>
  <si>
    <t>Finance/Investment</t>
  </si>
  <si>
    <t>Climate Statement</t>
  </si>
  <si>
    <t>Annual Report</t>
  </si>
  <si>
    <t/>
  </si>
  <si>
    <t>Sustainability Report</t>
  </si>
  <si>
    <t>letter/inreadable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</si>
</sst>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D5156"/>
      <name val="Arial"/>
      <family val="2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33" borderId="0" xfId="0" applyFill="1"/>
    <xf numFmtId="0" fontId="18" fillId="0" borderId="0" xfId="0" applyFont="1"/>
    <xf numFmtId="0" fontId="16" fillId="0" borderId="0" xfId="0" applyFont="1"/>
    <xf numFmtId="0" fontId="16" fillId="34" borderId="0" xfId="0" applyFont="1" applyFill="1"/>
    <xf numFmtId="0" fontId="16" fillId="0" borderId="10" xfId="0" applyFont="1" applyBorder="1"/>
    <xf numFmtId="9" fontId="0" fillId="0" borderId="0" xfId="43" applyFont="1"/>
    <xf numFmtId="9" fontId="16" fillId="0" borderId="10" xfId="43" applyFont="1" applyBorder="1"/>
    <xf numFmtId="9" fontId="19" fillId="0" borderId="0" xfId="43" applyFont="1"/>
    <xf numFmtId="0" fontId="16" fillId="34" borderId="0" xfId="0" applyFont="1" applyFill="1" applyAlignment="1">
      <alignment wrapText="1"/>
    </xf>
    <xf numFmtId="0" fontId="0" fillId="35" borderId="0" xfId="0" applyFill="1"/>
    <xf numFmtId="9" fontId="19" fillId="35" borderId="0" xfId="43" applyFont="1" applyFill="1"/>
    <xf numFmtId="0" fontId="0" fillId="36" borderId="0" xfId="0" applyFill="1"/>
    <xf numFmtId="0" fontId="0" fillId="37" borderId="0" xfId="0" applyFill="1"/>
    <xf numFmtId="0" fontId="16" fillId="37" borderId="0" xfId="0" applyFont="1" applyFill="1"/>
    <xf numFmtId="9" fontId="16" fillId="0" borderId="0" xfId="43" applyFont="1"/>
    <xf numFmtId="43" fontId="0" fillId="0" borderId="0" xfId="42" applyFont="1"/>
    <xf numFmtId="164" fontId="0" fillId="0" borderId="0" xfId="42" applyNumberFormat="1" applyFont="1"/>
    <xf numFmtId="4" fontId="0" fillId="0" borderId="0" xfId="42" applyNumberFormat="1" applyFont="1" applyAlignment="1">
      <alignment horizontal="right"/>
    </xf>
    <xf numFmtId="164" fontId="0" fillId="0" borderId="0" xfId="42" applyNumberFormat="1" applyFont="1" applyAlignment="1">
      <alignment horizontal="right"/>
    </xf>
    <xf numFmtId="0" fontId="19" fillId="0" borderId="0" xfId="0" applyFont="1"/>
    <xf numFmtId="2" fontId="0" fillId="0" borderId="0" xfId="42" applyNumberFormat="1" applyFont="1"/>
    <xf numFmtId="165" fontId="0" fillId="0" borderId="0" xfId="42" applyNumberFormat="1" applyFont="1"/>
    <xf numFmtId="43" fontId="16" fillId="0" borderId="10" xfId="42" applyFont="1" applyBorder="1"/>
    <xf numFmtId="164" fontId="16" fillId="0" borderId="10" xfId="42" applyNumberFormat="1" applyFont="1" applyBorder="1"/>
    <xf numFmtId="0" fontId="0" fillId="0" borderId="0" xfId="0" applyAlignment="1">
      <alignment horizontal="left" indent="1"/>
    </xf>
    <xf numFmtId="0" fontId="16" fillId="0" borderId="11" xfId="0" applyFont="1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Industry and reporting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summary!$C$18</c:f>
              <c:strCache>
                <c:ptCount val="1"/>
                <c:pt idx="0">
                  <c:v>Number of unreported firms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summary!$A$19:$B$36</c:f>
              <c:multiLvlStrCache>
                <c:ptCount val="18"/>
                <c:lvl>
                  <c:pt idx="0">
                    <c:v>Australian/NZ Bank</c:v>
                  </c:pt>
                  <c:pt idx="1">
                    <c:v>Foreign Bank</c:v>
                  </c:pt>
                  <c:pt idx="2">
                    <c:v>Finance/investment</c:v>
                  </c:pt>
                  <c:pt idx="3">
                    <c:v>Insurance</c:v>
                  </c:pt>
                  <c:pt idx="4">
                    <c:v>Property</c:v>
                  </c:pt>
                  <c:pt idx="5">
                    <c:v>Building</c:v>
                  </c:pt>
                  <c:pt idx="6">
                    <c:v>Age Care</c:v>
                  </c:pt>
                  <c:pt idx="7">
                    <c:v>Energy</c:v>
                  </c:pt>
                  <c:pt idx="8">
                    <c:v>Food/Agriculture</c:v>
                  </c:pt>
                  <c:pt idx="9">
                    <c:v>Consumer</c:v>
                  </c:pt>
                  <c:pt idx="10">
                    <c:v>Hotel/Restaurant/Tourism</c:v>
                  </c:pt>
                  <c:pt idx="11">
                    <c:v>Airport/infrastructure</c:v>
                  </c:pt>
                  <c:pt idx="12">
                    <c:v>Transportation</c:v>
                  </c:pt>
                  <c:pt idx="13">
                    <c:v>Government</c:v>
                  </c:pt>
                  <c:pt idx="14">
                    <c:v>Manufacturing</c:v>
                  </c:pt>
                  <c:pt idx="15">
                    <c:v>Healthcare</c:v>
                  </c:pt>
                  <c:pt idx="16">
                    <c:v>Technology </c:v>
                  </c:pt>
                  <c:pt idx="17">
                    <c:v>Telecommunications </c:v>
                  </c:pt>
                </c:lvl>
                <c:lvl>
                  <c:pt idx="0">
                    <c:v>Financial Sector</c:v>
                  </c:pt>
                  <c:pt idx="4">
                    <c:v>Real Estate</c:v>
                  </c:pt>
                  <c:pt idx="7">
                    <c:v>Energy</c:v>
                  </c:pt>
                  <c:pt idx="8">
                    <c:v>Agricuture</c:v>
                  </c:pt>
                  <c:pt idx="9">
                    <c:v>Industry</c:v>
                  </c:pt>
                  <c:pt idx="16">
                    <c:v>IT</c:v>
                  </c:pt>
                </c:lvl>
              </c:multiLvlStrCache>
            </c:multiLvlStrRef>
          </c:cat>
          <c:val>
            <c:numRef>
              <c:f>summary!$C$19:$C$36</c:f>
              <c:numCache>
                <c:formatCode>General</c:formatCode>
                <c:ptCount val="18"/>
                <c:pt idx="0">
                  <c:v>8</c:v>
                </c:pt>
                <c:pt idx="1">
                  <c:v>3</c:v>
                </c:pt>
                <c:pt idx="2">
                  <c:v>39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F-4E2E-B7C5-B40500DD4CAE}"/>
            </c:ext>
          </c:extLst>
        </c:ser>
        <c:ser>
          <c:idx val="1"/>
          <c:order val="1"/>
          <c:tx>
            <c:strRef>
              <c:f>summary!$D$18</c:f>
              <c:strCache>
                <c:ptCount val="1"/>
                <c:pt idx="0">
                  <c:v>Number of reported firms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summary!$A$19:$B$36</c:f>
              <c:multiLvlStrCache>
                <c:ptCount val="18"/>
                <c:lvl>
                  <c:pt idx="0">
                    <c:v>Australian/NZ Bank</c:v>
                  </c:pt>
                  <c:pt idx="1">
                    <c:v>Foreign Bank</c:v>
                  </c:pt>
                  <c:pt idx="2">
                    <c:v>Finance/investment</c:v>
                  </c:pt>
                  <c:pt idx="3">
                    <c:v>Insurance</c:v>
                  </c:pt>
                  <c:pt idx="4">
                    <c:v>Property</c:v>
                  </c:pt>
                  <c:pt idx="5">
                    <c:v>Building</c:v>
                  </c:pt>
                  <c:pt idx="6">
                    <c:v>Age Care</c:v>
                  </c:pt>
                  <c:pt idx="7">
                    <c:v>Energy</c:v>
                  </c:pt>
                  <c:pt idx="8">
                    <c:v>Food/Agriculture</c:v>
                  </c:pt>
                  <c:pt idx="9">
                    <c:v>Consumer</c:v>
                  </c:pt>
                  <c:pt idx="10">
                    <c:v>Hotel/Restaurant/Tourism</c:v>
                  </c:pt>
                  <c:pt idx="11">
                    <c:v>Airport/infrastructure</c:v>
                  </c:pt>
                  <c:pt idx="12">
                    <c:v>Transportation</c:v>
                  </c:pt>
                  <c:pt idx="13">
                    <c:v>Government</c:v>
                  </c:pt>
                  <c:pt idx="14">
                    <c:v>Manufacturing</c:v>
                  </c:pt>
                  <c:pt idx="15">
                    <c:v>Healthcare</c:v>
                  </c:pt>
                  <c:pt idx="16">
                    <c:v>Technology </c:v>
                  </c:pt>
                  <c:pt idx="17">
                    <c:v>Telecommunications </c:v>
                  </c:pt>
                </c:lvl>
                <c:lvl>
                  <c:pt idx="0">
                    <c:v>Financial Sector</c:v>
                  </c:pt>
                  <c:pt idx="4">
                    <c:v>Real Estate</c:v>
                  </c:pt>
                  <c:pt idx="7">
                    <c:v>Energy</c:v>
                  </c:pt>
                  <c:pt idx="8">
                    <c:v>Agricuture</c:v>
                  </c:pt>
                  <c:pt idx="9">
                    <c:v>Industry</c:v>
                  </c:pt>
                  <c:pt idx="16">
                    <c:v>IT</c:v>
                  </c:pt>
                </c:lvl>
              </c:multiLvlStrCache>
            </c:multiLvlStrRef>
          </c:cat>
          <c:val>
            <c:numRef>
              <c:f>summary!$D$19:$D$36</c:f>
              <c:numCache>
                <c:formatCode>General</c:formatCode>
                <c:ptCount val="18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F-4E2E-B7C5-B40500DD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451512"/>
        <c:axId val="406446112"/>
      </c:barChart>
      <c:catAx>
        <c:axId val="40645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46112"/>
        <c:crosses val="autoZero"/>
        <c:auto val="1"/>
        <c:lblAlgn val="ctr"/>
        <c:lblOffset val="100"/>
        <c:noMultiLvlLbl val="0"/>
      </c:catAx>
      <c:valAx>
        <c:axId val="40644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5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Industry and reported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summary!$C$41</c:f>
              <c:strCache>
                <c:ptCount val="1"/>
                <c:pt idx="0">
                  <c:v>Number of unreported firms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summary!$B$42:$B$47</c:f>
              <c:strCache>
                <c:ptCount val="6"/>
                <c:pt idx="0">
                  <c:v>Financial Sector</c:v>
                </c:pt>
                <c:pt idx="1">
                  <c:v>Real Estate</c:v>
                </c:pt>
                <c:pt idx="2">
                  <c:v>Energy</c:v>
                </c:pt>
                <c:pt idx="3">
                  <c:v>Agricuture</c:v>
                </c:pt>
                <c:pt idx="4">
                  <c:v>Industry</c:v>
                </c:pt>
                <c:pt idx="5">
                  <c:v>Telecommunication &amp; Technology &amp; Healthcare</c:v>
                </c:pt>
              </c:strCache>
            </c:strRef>
          </c:cat>
          <c:val>
            <c:numRef>
              <c:f>summary!$C$42:$C$47</c:f>
              <c:numCache>
                <c:formatCode>General</c:formatCode>
                <c:ptCount val="6"/>
                <c:pt idx="0">
                  <c:v>62</c:v>
                </c:pt>
                <c:pt idx="1">
                  <c:v>0</c:v>
                </c:pt>
                <c:pt idx="2">
                  <c:v>8</c:v>
                </c:pt>
                <c:pt idx="3">
                  <c:v>9</c:v>
                </c:pt>
                <c:pt idx="4">
                  <c:v>22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8-4818-B99B-6DCA553A0D65}"/>
            </c:ext>
          </c:extLst>
        </c:ser>
        <c:ser>
          <c:idx val="1"/>
          <c:order val="1"/>
          <c:tx>
            <c:strRef>
              <c:f>summary!$D$41</c:f>
              <c:strCache>
                <c:ptCount val="1"/>
                <c:pt idx="0">
                  <c:v>Number of reported firms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summary!$B$42:$B$47</c:f>
              <c:strCache>
                <c:ptCount val="6"/>
                <c:pt idx="0">
                  <c:v>Financial Sector</c:v>
                </c:pt>
                <c:pt idx="1">
                  <c:v>Real Estate</c:v>
                </c:pt>
                <c:pt idx="2">
                  <c:v>Energy</c:v>
                </c:pt>
                <c:pt idx="3">
                  <c:v>Agricuture</c:v>
                </c:pt>
                <c:pt idx="4">
                  <c:v>Industry</c:v>
                </c:pt>
                <c:pt idx="5">
                  <c:v>Telecommunication &amp; Technology &amp; Healthcare</c:v>
                </c:pt>
              </c:strCache>
            </c:strRef>
          </c:cat>
          <c:val>
            <c:numRef>
              <c:f>summary!$D$42:$D$47</c:f>
              <c:numCache>
                <c:formatCode>General</c:formatCode>
                <c:ptCount val="6"/>
                <c:pt idx="0">
                  <c:v>16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8-4818-B99B-6DCA553A0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6058320"/>
        <c:axId val="566059400"/>
      </c:barChart>
      <c:catAx>
        <c:axId val="5660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59400"/>
        <c:crosses val="autoZero"/>
        <c:auto val="1"/>
        <c:lblAlgn val="ctr"/>
        <c:lblOffset val="100"/>
        <c:noMultiLvlLbl val="0"/>
      </c:catAx>
      <c:valAx>
        <c:axId val="56605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5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b="1"/>
              <a:t>Number of firms</a:t>
            </a:r>
            <a:r>
              <a:rPr lang="en-NZ" b="1" baseline="0"/>
              <a:t> </a:t>
            </a:r>
            <a:endParaRPr lang="en-N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33-48FC-A5B5-C3FA73C895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33-48FC-A5B5-C3FA73C895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33-48FC-A5B5-C3FA73C895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summary!$A$4:$A$6</c:f>
              <c:strCache>
                <c:ptCount val="3"/>
                <c:pt idx="0">
                  <c:v>No records</c:v>
                </c:pt>
                <c:pt idx="1">
                  <c:v>Have records but not submitted</c:v>
                </c:pt>
                <c:pt idx="2">
                  <c:v>Have records and have submitted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68</c:v>
                </c:pt>
                <c:pt idx="1">
                  <c:v>62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C-47A0-B88E-562A149FE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042967783127745"/>
          <c:y val="0.18142542225228747"/>
          <c:w val="0.37684637336832544"/>
          <c:h val="0.56383683727186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b="1"/>
              <a:t>Number of firms</a:t>
            </a:r>
            <a:r>
              <a:rPr lang="en-NZ" b="1" baseline="0"/>
              <a:t>  &amp; investment schemes </a:t>
            </a:r>
            <a:endParaRPr lang="en-N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F-4532-A201-D731C1643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F-4532-A201-D731C1643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F-4532-A201-D731C1643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summary!$A$4:$A$6</c:f>
              <c:strCache>
                <c:ptCount val="3"/>
                <c:pt idx="0">
                  <c:v>No records</c:v>
                </c:pt>
                <c:pt idx="1">
                  <c:v>Have records but not submitted</c:v>
                </c:pt>
                <c:pt idx="2">
                  <c:v>Have records and have submitted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69</c:v>
                </c:pt>
                <c:pt idx="1">
                  <c:v>159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EF-4532-A201-D731C164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042967783127745"/>
          <c:y val="0.18142542225228747"/>
          <c:w val="0.37684637336832544"/>
          <c:h val="0.56383683727186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summary!$C$64</c:f>
              <c:strCache>
                <c:ptCount val="1"/>
                <c:pt idx="0">
                  <c:v>Number of reports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summary!$B$65:$B$67</c:f>
              <c:strCache>
                <c:ptCount val="3"/>
                <c:pt idx="0">
                  <c:v>Have their own climate statement</c:v>
                </c:pt>
                <c:pt idx="1">
                  <c:v>Included in annual report</c:v>
                </c:pt>
                <c:pt idx="2">
                  <c:v>Included in sustainability report</c:v>
                </c:pt>
              </c:strCache>
            </c:strRef>
          </c:cat>
          <c:val>
            <c:numRef>
              <c:f>summary!$C$65:$C$67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9-4998-87AD-A9DEB2662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summary!$D$64</c:f>
              <c:strCache>
                <c:ptCount val="1"/>
                <c:pt idx="0">
                  <c:v>Average pages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summary!$B$65:$B$67</c:f>
              <c:strCache>
                <c:ptCount val="3"/>
                <c:pt idx="0">
                  <c:v>Have their own climate statement</c:v>
                </c:pt>
                <c:pt idx="1">
                  <c:v>Included in annual report</c:v>
                </c:pt>
                <c:pt idx="2">
                  <c:v>Included in sustainability report</c:v>
                </c:pt>
              </c:strCache>
            </c:strRef>
          </c:cat>
          <c:val>
            <c:numRef>
              <c:f>summary!$D$65:$D$67</c:f>
              <c:numCache>
                <c:formatCode>_(* #,##0.00_);_(* \(#,##0.00\);_(* "-"??_);_(@_)</c:formatCode>
                <c:ptCount val="3"/>
                <c:pt idx="0">
                  <c:v>21.70967741935484</c:v>
                </c:pt>
                <c:pt idx="1">
                  <c:v>131.33333333333334</c:v>
                </c:pt>
                <c:pt idx="2">
                  <c:v>78.666666666666671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8-4F50-BDFA-7EE8A4FCD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summary!$E$64</c:f>
              <c:strCache>
                <c:ptCount val="1"/>
                <c:pt idx="0">
                  <c:v>Average words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summary!$B$65:$B$67</c:f>
              <c:strCache>
                <c:ptCount val="3"/>
                <c:pt idx="0">
                  <c:v>Have their own climate statement</c:v>
                </c:pt>
                <c:pt idx="1">
                  <c:v>Included in annual report</c:v>
                </c:pt>
                <c:pt idx="2">
                  <c:v>Included in sustainability report</c:v>
                </c:pt>
              </c:strCache>
            </c:strRef>
          </c:cat>
          <c:val>
            <c:numRef>
              <c:f>summary!$E$65:$E$67</c:f>
              <c:numCache>
                <c:formatCode>_-* #,##0_-;\-* #,##0_-;_-* "-"??_-;_-@_-</c:formatCode>
                <c:ptCount val="3"/>
                <c:pt idx="0">
                  <c:v>59723.903225806454</c:v>
                </c:pt>
                <c:pt idx="1">
                  <c:v>325870.66666666669</c:v>
                </c:pt>
                <c:pt idx="2">
                  <c:v>162814.33333333334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6-453D-9C51-EC519ADD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summary!$C$64</c:f>
              <c:strCache>
                <c:ptCount val="1"/>
                <c:pt idx="0">
                  <c:v>Number of reports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summary!$B$91:$B$106</c:f>
              <c:strCache>
                <c:ptCount val="16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</c:strCache>
            </c:strRef>
          </c:cat>
          <c:val>
            <c:numRef>
              <c:f>summary!$C$91:$C$106</c:f>
              <c:numCache>
                <c:formatCode>General</c:formatCode>
                <c:ptCount val="16"/>
                <c:pt idx="0">
                  <c:v>5</c:v>
                </c:pt>
                <c:pt idx="1">
                  <c:v>9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7-4D79-B872-FF8F39A71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summary!$D$64</c:f>
              <c:strCache>
                <c:ptCount val="1"/>
                <c:pt idx="0">
                  <c:v>Average pages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summary!$B$91:$B$107</c:f>
              <c:strCache>
                <c:ptCount val="17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</c:strCache>
            </c:strRef>
          </c:cat>
          <c:val>
            <c:numRef>
              <c:f>summary!$D$91:$D$107</c:f>
              <c:numCache>
                <c:formatCode>#,##0.00</c:formatCode>
                <c:ptCount val="17"/>
                <c:pt idx="0">
                  <c:v>9</c:v>
                </c:pt>
                <c:pt idx="1">
                  <c:v>19.111111111111111</c:v>
                </c:pt>
                <c:pt idx="2">
                  <c:v>0</c:v>
                </c:pt>
                <c:pt idx="3">
                  <c:v>21.5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23</c:v>
                </c:pt>
                <c:pt idx="8">
                  <c:v>0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D-4CA1-B39D-0148D6038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summary!$E$64</c:f>
              <c:strCache>
                <c:ptCount val="1"/>
                <c:pt idx="0">
                  <c:v>Average words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summary!$B$91:$B$107</c:f>
              <c:strCache>
                <c:ptCount val="17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</c:strCache>
            </c:strRef>
          </c:cat>
          <c:val>
            <c:numRef>
              <c:f>summary!$E$91:$E$107</c:f>
              <c:numCache>
                <c:formatCode>_-* #,##0_-;\-* #,##0_-;_-* "-"??_-;_-@_-</c:formatCode>
                <c:ptCount val="17"/>
                <c:pt idx="0">
                  <c:v>34376.6</c:v>
                </c:pt>
                <c:pt idx="1">
                  <c:v>43623.555555555555</c:v>
                </c:pt>
                <c:pt idx="2">
                  <c:v>0</c:v>
                </c:pt>
                <c:pt idx="3">
                  <c:v>45337</c:v>
                </c:pt>
                <c:pt idx="4">
                  <c:v>0</c:v>
                </c:pt>
                <c:pt idx="5">
                  <c:v>0</c:v>
                </c:pt>
                <c:pt idx="6">
                  <c:v>126445</c:v>
                </c:pt>
                <c:pt idx="7">
                  <c:v>68853.5</c:v>
                </c:pt>
                <c:pt idx="8">
                  <c:v>0</c:v>
                </c:pt>
                <c:pt idx="9">
                  <c:v>51626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70344</c:v>
                </c:pt>
                <c:pt idx="14">
                  <c:v>59162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6-4AC2-B1F3-662B702D5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summary!$F$64</c:f>
              <c:strCache>
                <c:ptCount val="1"/>
                <c:pt idx="0">
                  <c:v>Average words per 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summary!$B$91:$B$107</c:f>
              <c:strCache>
                <c:ptCount val="17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</c:strCache>
            </c:strRef>
          </c:cat>
          <c:val>
            <c:numRef>
              <c:f>summary!$F$91:$F$107</c:f>
              <c:numCache>
                <c:formatCode>_-* #,##0_-;\-* #,##0_-;_-* "-"??_-;_-@_-</c:formatCode>
                <c:ptCount val="17"/>
                <c:pt idx="0">
                  <c:v>3819.6222222222223</c:v>
                </c:pt>
                <c:pt idx="1">
                  <c:v>2282.6279069767443</c:v>
                </c:pt>
                <c:pt idx="2">
                  <c:v>0</c:v>
                </c:pt>
                <c:pt idx="3">
                  <c:v>2108.6976744186045</c:v>
                </c:pt>
                <c:pt idx="4">
                  <c:v>0</c:v>
                </c:pt>
                <c:pt idx="5">
                  <c:v>0</c:v>
                </c:pt>
                <c:pt idx="6">
                  <c:v>5057.8</c:v>
                </c:pt>
                <c:pt idx="7">
                  <c:v>2993.6304347826085</c:v>
                </c:pt>
                <c:pt idx="8">
                  <c:v>0</c:v>
                </c:pt>
                <c:pt idx="9">
                  <c:v>2244.608695652174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3058.4347826086955</c:v>
                </c:pt>
                <c:pt idx="14">
                  <c:v>1908.4516129032259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261-B0D0-7D48DE5E9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summary!$F$64</c:f>
              <c:strCache>
                <c:ptCount val="1"/>
                <c:pt idx="0">
                  <c:v>Average words per 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summary!$B$65:$B$67</c:f>
              <c:strCache>
                <c:ptCount val="3"/>
                <c:pt idx="0">
                  <c:v>Have their own climate statement</c:v>
                </c:pt>
                <c:pt idx="1">
                  <c:v>Included in annual report</c:v>
                </c:pt>
                <c:pt idx="2">
                  <c:v>Included in sustainability report</c:v>
                </c:pt>
              </c:strCache>
            </c:strRef>
          </c:cat>
          <c:val>
            <c:numRef>
              <c:f>summary!$F$65:$F$67</c:f>
              <c:numCache>
                <c:formatCode>_-* #,##0_-;\-* #,##0_-;_-* "-"??_-;_-@_-</c:formatCode>
                <c:ptCount val="3"/>
                <c:pt idx="0">
                  <c:v>2751.0267459138186</c:v>
                </c:pt>
                <c:pt idx="1">
                  <c:v>2481.2487309644671</c:v>
                </c:pt>
                <c:pt idx="2">
                  <c:v>2069.6737288135591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0-46BA-B708-38D9D2E6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881800"/>
        <c:axId val="789882520"/>
      </c:barChart>
      <c:catAx>
        <c:axId val="78988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2520"/>
        <c:crosses val="autoZero"/>
        <c:auto val="1"/>
        <c:lblAlgn val="ctr"/>
        <c:lblOffset val="100"/>
        <c:noMultiLvlLbl val="0"/>
      </c:catAx>
      <c:valAx>
        <c:axId val="7898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8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summary!$C$113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E7-4231-85E9-80E1FCAAD499}"/>
              </c:ext>
            </c:extLst>
          </c:dPt>
          <c:cat>
            <c:strRef>
              <c:f>summary!$B$114:$B$131</c:f>
              <c:strCache>
                <c:ptCount val="18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  <c:pt idx="17">
                  <c:v>Average</c:v>
                </c:pt>
              </c:strCache>
            </c:strRef>
          </c:cat>
          <c:val>
            <c:numRef>
              <c:f>summary!$C$114:$C$131</c:f>
              <c:numCache>
                <c:formatCode>_-* #,##0.000_-;\-* #,##0.000_-;_-* "-"??_-;_-@_-</c:formatCode>
                <c:ptCount val="18"/>
                <c:pt idx="0">
                  <c:v>0.01</c:v>
                </c:pt>
                <c:pt idx="1">
                  <c:v>5.9555555555555556E-2</c:v>
                </c:pt>
                <c:pt idx="2">
                  <c:v>0</c:v>
                </c:pt>
                <c:pt idx="3">
                  <c:v>4.8500000000000001E-2</c:v>
                </c:pt>
                <c:pt idx="4">
                  <c:v>0</c:v>
                </c:pt>
                <c:pt idx="5">
                  <c:v>0</c:v>
                </c:pt>
                <c:pt idx="6">
                  <c:v>7.0999999999999994E-2</c:v>
                </c:pt>
                <c:pt idx="7">
                  <c:v>7.6499999999999999E-2</c:v>
                </c:pt>
                <c:pt idx="8">
                  <c:v>0</c:v>
                </c:pt>
                <c:pt idx="9">
                  <c:v>7.1000000000000008E-2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6.4000000000000001E-2</c:v>
                </c:pt>
                <c:pt idx="14">
                  <c:v>6.5000000000000002E-2</c:v>
                </c:pt>
                <c:pt idx="15">
                  <c:v>0</c:v>
                </c:pt>
                <c:pt idx="16">
                  <c:v>0</c:v>
                </c:pt>
                <c:pt idx="17" formatCode="_(* #,##0.00_);_(* \(#,##0.00\);_(* &quot;-&quot;??_);_(@_)">
                  <c:v>6.8239999999999995E-2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7-4231-85E9-80E1FCAAD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679080"/>
        <c:axId val="564676920"/>
      </c:barChart>
      <c:catAx>
        <c:axId val="56467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6920"/>
        <c:crosses val="autoZero"/>
        <c:auto val="1"/>
        <c:lblAlgn val="ctr"/>
        <c:lblOffset val="100"/>
        <c:noMultiLvlLbl val="0"/>
      </c:catAx>
      <c:valAx>
        <c:axId val="56467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summary!$D$113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28-47D8-8D37-91F6B62CEF21}"/>
              </c:ext>
            </c:extLst>
          </c:dPt>
          <c:cat>
            <c:strRef>
              <c:f>summary!$B$114:$B$131</c:f>
              <c:strCache>
                <c:ptCount val="18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  <c:pt idx="17">
                  <c:v>Average</c:v>
                </c:pt>
              </c:strCache>
            </c:strRef>
          </c:cat>
          <c:val>
            <c:numRef>
              <c:f>summary!$D$114:$D$131</c:f>
              <c:numCache>
                <c:formatCode>_-* #,##0.000_-;\-* #,##0.000_-;_-* "-"??_-;_-@_-</c:formatCode>
                <c:ptCount val="18"/>
                <c:pt idx="0">
                  <c:v>0.16880000000000001</c:v>
                </c:pt>
                <c:pt idx="1">
                  <c:v>0.66544444444444439</c:v>
                </c:pt>
                <c:pt idx="2">
                  <c:v>0</c:v>
                </c:pt>
                <c:pt idx="3">
                  <c:v>0.88249999999999995</c:v>
                </c:pt>
                <c:pt idx="4">
                  <c:v>0</c:v>
                </c:pt>
                <c:pt idx="5">
                  <c:v>0</c:v>
                </c:pt>
                <c:pt idx="6">
                  <c:v>0.81</c:v>
                </c:pt>
                <c:pt idx="7">
                  <c:v>0.84549999999999992</c:v>
                </c:pt>
                <c:pt idx="8">
                  <c:v>0</c:v>
                </c:pt>
                <c:pt idx="9">
                  <c:v>0.84650000000000003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0.79800000000000004</c:v>
                </c:pt>
                <c:pt idx="14">
                  <c:v>0.84499999999999997</c:v>
                </c:pt>
                <c:pt idx="15">
                  <c:v>0</c:v>
                </c:pt>
                <c:pt idx="16">
                  <c:v>0</c:v>
                </c:pt>
                <c:pt idx="17" formatCode="_(* #,##0.00_);_(* \(#,##0.00\);_(* &quot;-&quot;??_);_(@_)">
                  <c:v>0.84723999999999977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8-47D8-8D37-91F6B62CE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679080"/>
        <c:axId val="564676920"/>
      </c:barChart>
      <c:catAx>
        <c:axId val="56467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6920"/>
        <c:crosses val="autoZero"/>
        <c:auto val="1"/>
        <c:lblAlgn val="ctr"/>
        <c:lblOffset val="100"/>
        <c:noMultiLvlLbl val="0"/>
      </c:catAx>
      <c:valAx>
        <c:axId val="56467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summary!$E$113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DB-47E1-ADCC-03AEFCF2F950}"/>
              </c:ext>
            </c:extLst>
          </c:dPt>
          <c:cat>
            <c:strRef>
              <c:f>summary!$B$114:$B$131</c:f>
              <c:strCache>
                <c:ptCount val="18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  <c:pt idx="17">
                  <c:v>Average</c:v>
                </c:pt>
              </c:strCache>
            </c:strRef>
          </c:cat>
          <c:val>
            <c:numRef>
              <c:f>summary!$E$114:$E$131</c:f>
              <c:numCache>
                <c:formatCode>_-* #,##0.000_-;\-* #,##0.000_-;_-* "-"??_-;_-@_-</c:formatCode>
                <c:ptCount val="18"/>
                <c:pt idx="0">
                  <c:v>2.12E-2</c:v>
                </c:pt>
                <c:pt idx="1">
                  <c:v>5.2888888888888888E-2</c:v>
                </c:pt>
                <c:pt idx="2">
                  <c:v>0</c:v>
                </c:pt>
                <c:pt idx="3">
                  <c:v>6.9000000000000006E-2</c:v>
                </c:pt>
                <c:pt idx="4">
                  <c:v>0</c:v>
                </c:pt>
                <c:pt idx="5">
                  <c:v>0</c:v>
                </c:pt>
                <c:pt idx="6">
                  <c:v>0.11899999999999999</c:v>
                </c:pt>
                <c:pt idx="7">
                  <c:v>7.85E-2</c:v>
                </c:pt>
                <c:pt idx="8">
                  <c:v>0</c:v>
                </c:pt>
                <c:pt idx="9">
                  <c:v>8.249999999999999E-2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0.13800000000000001</c:v>
                </c:pt>
                <c:pt idx="14">
                  <c:v>0.09</c:v>
                </c:pt>
                <c:pt idx="15">
                  <c:v>0</c:v>
                </c:pt>
                <c:pt idx="16">
                  <c:v>0</c:v>
                </c:pt>
                <c:pt idx="17" formatCode="_(* #,##0.00_);_(* \(#,##0.00\);_(* &quot;-&quot;??_);_(@_)">
                  <c:v>8.4600000000000009E-2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B-47E1-ADCC-03AEFCF2F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679080"/>
        <c:axId val="564676920"/>
      </c:barChart>
      <c:catAx>
        <c:axId val="56467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6920"/>
        <c:crosses val="autoZero"/>
        <c:auto val="1"/>
        <c:lblAlgn val="ctr"/>
        <c:lblOffset val="100"/>
        <c:noMultiLvlLbl val="0"/>
      </c:catAx>
      <c:valAx>
        <c:axId val="56467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summary!$F$113</c:f>
              <c:strCache>
                <c:ptCount val="1"/>
                <c:pt idx="0">
                  <c:v>Compound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D-446B-A180-45BB56AE2D1D}"/>
              </c:ext>
            </c:extLst>
          </c:dPt>
          <c:cat>
            <c:strRef>
              <c:f>summary!$B$114:$B$131</c:f>
              <c:strCache>
                <c:ptCount val="18"/>
                <c:pt idx="0">
                  <c:v>Australian/Nz Bank</c:v>
                </c:pt>
                <c:pt idx="1">
                  <c:v>Foreign Bank</c:v>
                </c:pt>
                <c:pt idx="2">
                  <c:v>Finance</c:v>
                </c:pt>
                <c:pt idx="3">
                  <c:v>Insurance</c:v>
                </c:pt>
                <c:pt idx="4">
                  <c:v>Investment</c:v>
                </c:pt>
                <c:pt idx="5">
                  <c:v>Real Estate</c:v>
                </c:pt>
                <c:pt idx="6">
                  <c:v>Energy</c:v>
                </c:pt>
                <c:pt idx="7">
                  <c:v>Food/Agriculture</c:v>
                </c:pt>
                <c:pt idx="8">
                  <c:v>Consumer</c:v>
                </c:pt>
                <c:pt idx="9">
                  <c:v>Hotel/Restaurant/Tourism</c:v>
                </c:pt>
                <c:pt idx="10">
                  <c:v>Airport/infrastructure</c:v>
                </c:pt>
                <c:pt idx="11">
                  <c:v>Transportation</c:v>
                </c:pt>
                <c:pt idx="12">
                  <c:v>Government</c:v>
                </c:pt>
                <c:pt idx="13">
                  <c:v>Manufacturing</c:v>
                </c:pt>
                <c:pt idx="14">
                  <c:v>Technology </c:v>
                </c:pt>
                <c:pt idx="15">
                  <c:v>Telecommunications </c:v>
                </c:pt>
                <c:pt idx="16">
                  <c:v>Healthcare</c:v>
                </c:pt>
                <c:pt idx="17">
                  <c:v>Average</c:v>
                </c:pt>
              </c:strCache>
            </c:strRef>
          </c:cat>
          <c:val>
            <c:numRef>
              <c:f>summary!$F$114:$F$131</c:f>
              <c:numCache>
                <c:formatCode>0.00</c:formatCode>
                <c:ptCount val="18"/>
                <c:pt idx="0">
                  <c:v>0.2</c:v>
                </c:pt>
                <c:pt idx="1">
                  <c:v>-0.46496666666666658</c:v>
                </c:pt>
                <c:pt idx="2">
                  <c:v>0</c:v>
                </c:pt>
                <c:pt idx="3">
                  <c:v>0.74970000000000003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6.4999999999998392E-4</c:v>
                </c:pt>
                <c:pt idx="8">
                  <c:v>0</c:v>
                </c:pt>
                <c:pt idx="9">
                  <c:v>0.99590000000000001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0.99970000000000003</c:v>
                </c:pt>
                <c:pt idx="15">
                  <c:v>0</c:v>
                </c:pt>
                <c:pt idx="16">
                  <c:v>0</c:v>
                </c:pt>
                <c:pt idx="17" formatCode="_(* #,##0.00_);_(* \(#,##0.00\);_(* &quot;-&quot;??_);_(@_)">
                  <c:v>0.35221599999999997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D-446B-A180-45BB56AE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679080"/>
        <c:axId val="564676920"/>
      </c:barChart>
      <c:catAx>
        <c:axId val="56467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6920"/>
        <c:crosses val="autoZero"/>
        <c:auto val="1"/>
        <c:lblAlgn val="ctr"/>
        <c:lblOffset val="100"/>
        <c:noMultiLvlLbl val="0"/>
      </c:catAx>
      <c:valAx>
        <c:axId val="56467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16</xdr:row>
      <xdr:rowOff>38099</xdr:rowOff>
    </xdr:from>
    <xdr:to>
      <xdr:col>16</xdr:col>
      <xdr:colOff>190500</xdr:colOff>
      <xdr:row>37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BCAD52-525E-C51E-A612-E105D6AF0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50425</xdr:colOff>
      <xdr:row>40</xdr:row>
      <xdr:rowOff>12326</xdr:rowOff>
    </xdr:from>
    <xdr:to>
      <xdr:col>15</xdr:col>
      <xdr:colOff>302558</xdr:colOff>
      <xdr:row>58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EA58A9-AE82-43D1-E921-505BED112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158002</xdr:rowOff>
    </xdr:from>
    <xdr:to>
      <xdr:col>10</xdr:col>
      <xdr:colOff>773205</xdr:colOff>
      <xdr:row>13</xdr:row>
      <xdr:rowOff>56029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A68446-B7C5-18E0-CD8F-655B4C61E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952500</xdr:colOff>
      <xdr:row>1</xdr:row>
      <xdr:rowOff>168088</xdr:rowOff>
    </xdr:from>
    <xdr:to>
      <xdr:col>16</xdr:col>
      <xdr:colOff>156881</xdr:colOff>
      <xdr:row>13</xdr:row>
      <xdr:rowOff>66115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09BE67-2F18-4BCB-BF7E-992B97697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140072</xdr:colOff>
      <xdr:row>62</xdr:row>
      <xdr:rowOff>45943</xdr:rowOff>
    </xdr:from>
    <xdr:to>
      <xdr:col>10</xdr:col>
      <xdr:colOff>291353</xdr:colOff>
      <xdr:row>82</xdr:row>
      <xdr:rowOff>89646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BAD8DF-B1E5-076A-44BE-92A9C9DBB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493058</xdr:colOff>
      <xdr:row>62</xdr:row>
      <xdr:rowOff>56030</xdr:rowOff>
    </xdr:from>
    <xdr:to>
      <xdr:col>14</xdr:col>
      <xdr:colOff>431427</xdr:colOff>
      <xdr:row>82</xdr:row>
      <xdr:rowOff>99733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370072-4639-4B9B-A2B8-DBE6AB317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62</xdr:row>
      <xdr:rowOff>0</xdr:rowOff>
    </xdr:from>
    <xdr:to>
      <xdr:col>20</xdr:col>
      <xdr:colOff>532281</xdr:colOff>
      <xdr:row>82</xdr:row>
      <xdr:rowOff>43703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535715-2FC1-491B-85D6-23DDC94BB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10</xdr:col>
      <xdr:colOff>151281</xdr:colOff>
      <xdr:row>108</xdr:row>
      <xdr:rowOff>43703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DCA2FD-F401-4952-A79C-C31E6B956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649941</xdr:colOff>
      <xdr:row>87</xdr:row>
      <xdr:rowOff>156882</xdr:rowOff>
    </xdr:from>
    <xdr:to>
      <xdr:col>14</xdr:col>
      <xdr:colOff>588310</xdr:colOff>
      <xdr:row>108</xdr:row>
      <xdr:rowOff>10085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6D00B2-1380-454F-8254-02671419B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67235</xdr:colOff>
      <xdr:row>87</xdr:row>
      <xdr:rowOff>168088</xdr:rowOff>
    </xdr:from>
    <xdr:to>
      <xdr:col>20</xdr:col>
      <xdr:colOff>599516</xdr:colOff>
      <xdr:row>108</xdr:row>
      <xdr:rowOff>21291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6298F5-0A63-4955-90A3-1936C1211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179293</xdr:colOff>
      <xdr:row>87</xdr:row>
      <xdr:rowOff>179294</xdr:rowOff>
    </xdr:from>
    <xdr:to>
      <xdr:col>27</xdr:col>
      <xdr:colOff>106456</xdr:colOff>
      <xdr:row>108</xdr:row>
      <xdr:rowOff>32497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688BB8F-5D38-4052-BDF3-739905678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0</xdr:colOff>
      <xdr:row>62</xdr:row>
      <xdr:rowOff>0</xdr:rowOff>
    </xdr:from>
    <xdr:to>
      <xdr:col>26</xdr:col>
      <xdr:colOff>532281</xdr:colOff>
      <xdr:row>82</xdr:row>
      <xdr:rowOff>43703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E3F530-8FB7-44E4-9A73-EE53D6740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745190</xdr:colOff>
      <xdr:row>112</xdr:row>
      <xdr:rowOff>12325</xdr:rowOff>
    </xdr:from>
    <xdr:to>
      <xdr:col>10</xdr:col>
      <xdr:colOff>212912</xdr:colOff>
      <xdr:row>131</xdr:row>
      <xdr:rowOff>44823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28E3C23-717A-26AF-C847-65514D58F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705970</xdr:colOff>
      <xdr:row>111</xdr:row>
      <xdr:rowOff>179294</xdr:rowOff>
    </xdr:from>
    <xdr:to>
      <xdr:col>14</xdr:col>
      <xdr:colOff>711574</xdr:colOff>
      <xdr:row>131</xdr:row>
      <xdr:rowOff>21292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B51038-5EAF-408D-ABBC-8401D93EA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145676</xdr:colOff>
      <xdr:row>112</xdr:row>
      <xdr:rowOff>0</xdr:rowOff>
    </xdr:from>
    <xdr:to>
      <xdr:col>21</xdr:col>
      <xdr:colOff>140075</xdr:colOff>
      <xdr:row>131</xdr:row>
      <xdr:rowOff>32498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FC18037-FD98-4724-A081-167E25780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0</xdr:colOff>
      <xdr:row>112</xdr:row>
      <xdr:rowOff>0</xdr:rowOff>
    </xdr:from>
    <xdr:to>
      <xdr:col>27</xdr:col>
      <xdr:colOff>599516</xdr:colOff>
      <xdr:row>131</xdr:row>
      <xdr:rowOff>32498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867E085-E64F-413E-B337-13AB2B03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62"/>
  <sheetViews>
    <sheetView showGridLines="0" topLeftCell="A52" zoomScaleNormal="100" workbookViewId="0">
      <selection activeCell="F74" sqref="F74"/>
    </sheetView>
  </sheetViews>
  <sheetFormatPr defaultRowHeight="15" x14ac:dyDescent="0.25"/>
  <cols>
    <col min="1" max="1" width="16" customWidth="1"/>
    <col min="2" max="2" width="52.85546875" customWidth="1"/>
    <col min="3" max="3" width="16" customWidth="1"/>
    <col min="4" max="4" width="47.85546875" customWidth="1"/>
    <col min="5" max="5" width="18.140625" customWidth="1"/>
    <col min="6" max="6" width="22.7109375" bestFit="1" customWidth="1"/>
    <col min="7" max="7" width="11.28515625" bestFit="1" customWidth="1"/>
    <col min="10" max="10" width="33" bestFit="1" customWidth="1"/>
    <col min="11" max="11" width="22" bestFit="1" customWidth="1"/>
    <col min="12" max="14" width="10.7109375" bestFit="1" customWidth="1"/>
    <col min="15" max="15" width="11.28515625" bestFit="1" customWidth="1"/>
  </cols>
  <sheetData>
    <row r="1" spans="1:3" s="14" customFormat="1" x14ac:dyDescent="0.25"/>
    <row r="2" spans="1:3" s="15" customFormat="1" x14ac:dyDescent="0.25">
      <c r="A2" s="16" t="s">
        <v>661</v>
      </c>
    </row>
    <row r="3" spans="1:3" ht="28.5" customHeight="1" x14ac:dyDescent="0.25">
      <c r="A3" s="6" t="s">
        <v>640</v>
      </c>
      <c r="B3" s="6" t="s">
        <v>637</v>
      </c>
      <c r="C3" s="11" t="s">
        <v>638</v>
      </c>
    </row>
    <row r="4" spans="1:3" x14ac:dyDescent="0.25">
      <c r="A4" t="s">
        <v>13</v>
      </c>
      <c r="B4">
        <f>SUMIFS('2.masterfirm'!E:E,'2.masterfirm'!$G:$G,$A4)</f>
        <v>68</v>
      </c>
      <c r="C4">
        <f>SUMIFS('2.masterfirm'!F:F,'2.masterfirm'!$G:$G,$A4)</f>
        <v>69</v>
      </c>
    </row>
    <row r="5" spans="1:3" x14ac:dyDescent="0.25">
      <c r="A5" t="s">
        <v>19</v>
      </c>
      <c r="B5">
        <f>SUMIFS('2.masterfirm'!E:E,'2.masterfirm'!$G:$G,$A5)</f>
        <v>62</v>
      </c>
      <c r="C5">
        <f>SUMIFS('2.masterfirm'!F:F,'2.masterfirm'!$G:$G,$A5)</f>
        <v>159</v>
      </c>
    </row>
    <row r="6" spans="1:3" x14ac:dyDescent="0.25">
      <c r="A6" t="s">
        <v>54</v>
      </c>
      <c r="B6">
        <f>SUMIFS('2.masterfirm'!E:E,'2.masterfirm'!$G:$G,$A6)</f>
        <v>30</v>
      </c>
      <c r="C6">
        <f>SUMIFS('2.masterfirm'!F:F,'2.masterfirm'!$G:$G,$A6)</f>
        <v>30</v>
      </c>
    </row>
    <row r="7" spans="1:3" x14ac:dyDescent="0.25">
      <c r="A7" s="7" t="s">
        <v>641</v>
      </c>
      <c r="B7" s="7">
        <f>SUM(B4:B6)</f>
        <v>160</v>
      </c>
      <c r="C7" s="7">
        <f t="shared" ref="C7" si="0">SUM(C4:C6)</f>
        <v>258</v>
      </c>
    </row>
    <row r="10" spans="1:3" ht="30" x14ac:dyDescent="0.25">
      <c r="A10" s="6" t="s">
        <v>640</v>
      </c>
      <c r="B10" s="6" t="s">
        <v>637</v>
      </c>
      <c r="C10" s="11" t="s">
        <v>638</v>
      </c>
    </row>
    <row r="11" spans="1:3" x14ac:dyDescent="0.25">
      <c r="A11" t="s">
        <v>13</v>
      </c>
      <c r="B11" s="8">
        <f>B4/B$7</f>
        <v>0.42499999999999999</v>
      </c>
      <c r="C11" s="8">
        <f>C4/C$7</f>
        <v>0.26744186046511625</v>
      </c>
    </row>
    <row r="12" spans="1:3" x14ac:dyDescent="0.25">
      <c r="A12" t="s">
        <v>19</v>
      </c>
      <c r="B12" s="8">
        <f t="shared" ref="B12:C13" si="1">B5/B$7</f>
        <v>0.38750000000000001</v>
      </c>
      <c r="C12" s="8">
        <f t="shared" si="1"/>
        <v>0.61627906976744184</v>
      </c>
    </row>
    <row r="13" spans="1:3" x14ac:dyDescent="0.25">
      <c r="A13" t="s">
        <v>54</v>
      </c>
      <c r="B13" s="8">
        <f t="shared" si="1"/>
        <v>0.1875</v>
      </c>
      <c r="C13" s="8">
        <f t="shared" si="1"/>
        <v>0.11627906976744186</v>
      </c>
    </row>
    <row r="14" spans="1:3" x14ac:dyDescent="0.25">
      <c r="A14" s="7" t="s">
        <v>641</v>
      </c>
      <c r="B14" s="9">
        <f>SUM(B11:B13)</f>
        <v>1</v>
      </c>
      <c r="C14" s="9">
        <f t="shared" ref="C14" si="2">SUM(C11:C13)</f>
        <v>1</v>
      </c>
    </row>
    <row r="16" spans="1:3" s="12" customFormat="1" x14ac:dyDescent="0.25"/>
    <row r="17" spans="1:6" x14ac:dyDescent="0.25">
      <c r="A17" s="5" t="s">
        <v>662</v>
      </c>
    </row>
    <row r="18" spans="1:6" x14ac:dyDescent="0.25">
      <c r="A18" s="6" t="s">
        <v>663</v>
      </c>
      <c r="B18" s="6" t="s">
        <v>629</v>
      </c>
      <c r="C18" s="6" t="s">
        <v>659</v>
      </c>
      <c r="D18" s="6" t="s">
        <v>642</v>
      </c>
      <c r="E18" s="6" t="s">
        <v>637</v>
      </c>
      <c r="F18" s="6" t="s">
        <v>655</v>
      </c>
    </row>
    <row r="19" spans="1:6" x14ac:dyDescent="0.25">
      <c r="A19" t="s">
        <v>643</v>
      </c>
      <c r="B19" t="s">
        <v>688</v>
      </c>
      <c r="C19">
        <f>E19-D19</f>
        <v>8</v>
      </c>
      <c r="D19">
        <f>SUMIFS('2.masterfirm'!E:E,'2.masterfirm'!C:C,summary!B19,'2.masterfirm'!G:G,summary!$A$13)</f>
        <v>2</v>
      </c>
      <c r="E19">
        <f>SUMIFS('2.masterfirm'!E:E,'2.masterfirm'!C:C,summary!B19)</f>
        <v>10</v>
      </c>
      <c r="F19" s="10">
        <f t="shared" ref="F19:F37" si="3">D19/E19</f>
        <v>0.2</v>
      </c>
    </row>
    <row r="20" spans="1:6" x14ac:dyDescent="0.25">
      <c r="B20" t="s">
        <v>646</v>
      </c>
      <c r="C20">
        <f t="shared" ref="C20:C36" si="4">E20-D20</f>
        <v>3</v>
      </c>
      <c r="D20">
        <f>SUMIFS('2.masterfirm'!E:E,'2.masterfirm'!C:C,summary!B20,'2.masterfirm'!G:G,summary!$A$13)</f>
        <v>7</v>
      </c>
      <c r="E20">
        <f>SUMIFS('2.masterfirm'!E:E,'2.masterfirm'!C:C,summary!B20)</f>
        <v>10</v>
      </c>
      <c r="F20" s="10">
        <f t="shared" si="3"/>
        <v>0.7</v>
      </c>
    </row>
    <row r="21" spans="1:6" x14ac:dyDescent="0.25">
      <c r="B21" t="s">
        <v>687</v>
      </c>
      <c r="C21">
        <f t="shared" si="4"/>
        <v>39</v>
      </c>
      <c r="D21">
        <f>SUMIFS('2.masterfirm'!E:E,'2.masterfirm'!C:C,summary!B21,'2.masterfirm'!G:G,summary!$A$13)</f>
        <v>3</v>
      </c>
      <c r="E21">
        <f>SUMIFS('2.masterfirm'!E:E,'2.masterfirm'!C:C,summary!B21)</f>
        <v>42</v>
      </c>
      <c r="F21" s="10">
        <f t="shared" si="3"/>
        <v>7.1428571428571425E-2</v>
      </c>
    </row>
    <row r="22" spans="1:6" x14ac:dyDescent="0.25">
      <c r="B22" t="s">
        <v>626</v>
      </c>
      <c r="C22">
        <f t="shared" si="4"/>
        <v>12</v>
      </c>
      <c r="D22">
        <f>SUMIFS('2.masterfirm'!E:E,'2.masterfirm'!C:C,summary!B22,'2.masterfirm'!G:G,summary!$A$13)</f>
        <v>4</v>
      </c>
      <c r="E22">
        <f>SUMIFS('2.masterfirm'!E:E,'2.masterfirm'!C:C,summary!B22)</f>
        <v>16</v>
      </c>
      <c r="F22" s="10">
        <f t="shared" si="3"/>
        <v>0.25</v>
      </c>
    </row>
    <row r="23" spans="1:6" x14ac:dyDescent="0.25">
      <c r="A23" t="s">
        <v>627</v>
      </c>
      <c r="B23" t="s">
        <v>689</v>
      </c>
      <c r="C23">
        <f t="shared" si="4"/>
        <v>9</v>
      </c>
      <c r="D23">
        <f>SUMIFS('2.masterfirm'!E:E,'2.masterfirm'!C:C,summary!B23,'2.masterfirm'!G:G,summary!$A$13)</f>
        <v>2</v>
      </c>
      <c r="E23">
        <f>SUMIFS('2.masterfirm'!E:E,'2.masterfirm'!C:C,summary!B23)</f>
        <v>11</v>
      </c>
      <c r="F23" s="10">
        <f t="shared" si="3"/>
        <v>0.18181818181818182</v>
      </c>
    </row>
    <row r="24" spans="1:6" x14ac:dyDescent="0.25">
      <c r="B24" t="s">
        <v>691</v>
      </c>
      <c r="C24">
        <f t="shared" ref="C24:C25" si="5">E24-D24</f>
        <v>3</v>
      </c>
      <c r="D24">
        <f>SUMIFS('2.masterfirm'!E:E,'2.masterfirm'!C:C,summary!B24,'2.masterfirm'!G:G,summary!$A$13)</f>
        <v>0</v>
      </c>
      <c r="E24">
        <f>SUMIFS('2.masterfirm'!E:E,'2.masterfirm'!C:C,summary!B24)</f>
        <v>3</v>
      </c>
      <c r="F24" s="10">
        <f t="shared" ref="F24:F25" si="6">D24/E24</f>
        <v>0</v>
      </c>
    </row>
    <row r="25" spans="1:6" x14ac:dyDescent="0.25">
      <c r="B25" t="s">
        <v>690</v>
      </c>
      <c r="C25">
        <f t="shared" si="5"/>
        <v>2</v>
      </c>
      <c r="D25">
        <f>SUMIFS('2.masterfirm'!E:E,'2.masterfirm'!C:C,summary!B25,'2.masterfirm'!G:G,summary!$A$13)</f>
        <v>1</v>
      </c>
      <c r="E25">
        <f>SUMIFS('2.masterfirm'!E:E,'2.masterfirm'!C:C,summary!B25)</f>
        <v>3</v>
      </c>
      <c r="F25" s="10">
        <f t="shared" si="6"/>
        <v>0.33333333333333331</v>
      </c>
    </row>
    <row r="26" spans="1:6" x14ac:dyDescent="0.25">
      <c r="A26" t="s">
        <v>625</v>
      </c>
      <c r="B26" t="s">
        <v>625</v>
      </c>
      <c r="C26">
        <f t="shared" si="4"/>
        <v>8</v>
      </c>
      <c r="D26">
        <f>SUMIFS('2.masterfirm'!E:E,'2.masterfirm'!C:C,summary!B26,'2.masterfirm'!G:G,summary!$A$13)</f>
        <v>1</v>
      </c>
      <c r="E26">
        <f>SUMIFS('2.masterfirm'!E:E,'2.masterfirm'!C:C,summary!B26)</f>
        <v>9</v>
      </c>
      <c r="F26" s="10">
        <f t="shared" si="3"/>
        <v>0.1111111111111111</v>
      </c>
    </row>
    <row r="27" spans="1:6" x14ac:dyDescent="0.25">
      <c r="A27" t="s">
        <v>658</v>
      </c>
      <c r="B27" t="s">
        <v>648</v>
      </c>
      <c r="C27">
        <f t="shared" si="4"/>
        <v>9</v>
      </c>
      <c r="D27">
        <f>SUMIFS('2.masterfirm'!E:E,'2.masterfirm'!C:C,summary!B27,'2.masterfirm'!G:G,summary!$A$13)</f>
        <v>3</v>
      </c>
      <c r="E27">
        <f>SUMIFS('2.masterfirm'!E:E,'2.masterfirm'!C:C,summary!B27)</f>
        <v>12</v>
      </c>
      <c r="F27" s="10">
        <f t="shared" si="3"/>
        <v>0.25</v>
      </c>
    </row>
    <row r="28" spans="1:6" x14ac:dyDescent="0.25">
      <c r="A28" t="s">
        <v>629</v>
      </c>
      <c r="B28" t="s">
        <v>624</v>
      </c>
      <c r="C28">
        <f t="shared" si="4"/>
        <v>1</v>
      </c>
      <c r="D28">
        <f>SUMIFS('2.masterfirm'!E:E,'2.masterfirm'!C:C,summary!B28,'2.masterfirm'!G:G,summary!$A$13)</f>
        <v>1</v>
      </c>
      <c r="E28">
        <f>SUMIFS('2.masterfirm'!E:E,'2.masterfirm'!C:C,summary!B28)</f>
        <v>2</v>
      </c>
      <c r="F28" s="10">
        <f t="shared" si="3"/>
        <v>0.5</v>
      </c>
    </row>
    <row r="29" spans="1:6" x14ac:dyDescent="0.25">
      <c r="B29" t="s">
        <v>656</v>
      </c>
      <c r="C29">
        <f t="shared" si="4"/>
        <v>1</v>
      </c>
      <c r="D29">
        <f>SUMIFS('2.masterfirm'!E:E,'2.masterfirm'!C:C,summary!B29,'2.masterfirm'!G:G,summary!$A$13)</f>
        <v>2</v>
      </c>
      <c r="E29">
        <f>SUMIFS('2.masterfirm'!E:E,'2.masterfirm'!C:C,summary!B29)</f>
        <v>3</v>
      </c>
      <c r="F29" s="10">
        <f t="shared" si="3"/>
        <v>0.66666666666666663</v>
      </c>
    </row>
    <row r="30" spans="1:6" x14ac:dyDescent="0.25">
      <c r="B30" t="s">
        <v>657</v>
      </c>
      <c r="C30">
        <f t="shared" si="4"/>
        <v>7</v>
      </c>
      <c r="D30">
        <f>SUMIFS('2.masterfirm'!E:E,'2.masterfirm'!C:C,summary!B30,'2.masterfirm'!G:G,summary!$A$13)</f>
        <v>2</v>
      </c>
      <c r="E30">
        <f>SUMIFS('2.masterfirm'!E:E,'2.masterfirm'!C:C,summary!B30)</f>
        <v>9</v>
      </c>
      <c r="F30" s="10">
        <f t="shared" si="3"/>
        <v>0.22222222222222221</v>
      </c>
    </row>
    <row r="31" spans="1:6" x14ac:dyDescent="0.25">
      <c r="B31" t="s">
        <v>654</v>
      </c>
      <c r="C31">
        <f t="shared" si="4"/>
        <v>6</v>
      </c>
      <c r="D31">
        <f>SUMIFS('2.masterfirm'!E:E,'2.masterfirm'!C:C,summary!B31,'2.masterfirm'!G:G,summary!$A$13)</f>
        <v>0</v>
      </c>
      <c r="E31">
        <f>SUMIFS('2.masterfirm'!E:E,'2.masterfirm'!C:C,summary!B31)</f>
        <v>6</v>
      </c>
      <c r="F31" s="10">
        <f t="shared" si="3"/>
        <v>0</v>
      </c>
    </row>
    <row r="32" spans="1:6" x14ac:dyDescent="0.25">
      <c r="B32" t="s">
        <v>651</v>
      </c>
      <c r="C32">
        <f t="shared" si="4"/>
        <v>2</v>
      </c>
      <c r="D32">
        <f>SUMIFS('2.masterfirm'!E:E,'2.masterfirm'!C:C,summary!B32,'2.masterfirm'!G:G,summary!$A$13)</f>
        <v>0</v>
      </c>
      <c r="E32">
        <f>SUMIFS('2.masterfirm'!E:E,'2.masterfirm'!C:C,summary!B32)</f>
        <v>2</v>
      </c>
      <c r="F32" s="10">
        <f t="shared" si="3"/>
        <v>0</v>
      </c>
    </row>
    <row r="33" spans="1:6" x14ac:dyDescent="0.25">
      <c r="B33" t="s">
        <v>653</v>
      </c>
      <c r="C33">
        <f t="shared" si="4"/>
        <v>5</v>
      </c>
      <c r="D33">
        <f>SUMIFS('2.masterfirm'!E:E,'2.masterfirm'!C:C,summary!B33,'2.masterfirm'!G:G,summary!$A$13)</f>
        <v>0</v>
      </c>
      <c r="E33">
        <f>SUMIFS('2.masterfirm'!E:E,'2.masterfirm'!C:C,summary!B33)</f>
        <v>5</v>
      </c>
      <c r="F33" s="10">
        <f t="shared" si="3"/>
        <v>0</v>
      </c>
    </row>
    <row r="34" spans="1:6" x14ac:dyDescent="0.25">
      <c r="B34" t="s">
        <v>652</v>
      </c>
      <c r="C34">
        <f>E34-D34</f>
        <v>6</v>
      </c>
      <c r="D34">
        <f>SUMIFS('2.masterfirm'!E:E,'2.masterfirm'!C:C,summary!B34,'2.masterfirm'!G:G,summary!$A$13)</f>
        <v>0</v>
      </c>
      <c r="E34">
        <f>SUMIFS('2.masterfirm'!E:E,'2.masterfirm'!C:C,summary!B34)</f>
        <v>6</v>
      </c>
      <c r="F34" s="10">
        <f>D34/E34</f>
        <v>0</v>
      </c>
    </row>
    <row r="35" spans="1:6" x14ac:dyDescent="0.25">
      <c r="A35" t="s">
        <v>692</v>
      </c>
      <c r="B35" t="s">
        <v>649</v>
      </c>
      <c r="C35">
        <f t="shared" si="4"/>
        <v>5</v>
      </c>
      <c r="D35">
        <f>SUMIFS('2.masterfirm'!E:E,'2.masterfirm'!C:C,summary!B35,'2.masterfirm'!G:G,summary!$A$13)</f>
        <v>2</v>
      </c>
      <c r="E35">
        <f>SUMIFS('2.masterfirm'!E:E,'2.masterfirm'!C:C,summary!B35)</f>
        <v>7</v>
      </c>
      <c r="F35" s="10">
        <f t="shared" si="3"/>
        <v>0.2857142857142857</v>
      </c>
    </row>
    <row r="36" spans="1:6" x14ac:dyDescent="0.25">
      <c r="B36" t="s">
        <v>650</v>
      </c>
      <c r="C36">
        <f t="shared" si="4"/>
        <v>4</v>
      </c>
      <c r="D36">
        <f>SUMIFS('2.masterfirm'!E:E,'2.masterfirm'!C:C,summary!B36,'2.masterfirm'!G:G,summary!$A$13)</f>
        <v>0</v>
      </c>
      <c r="E36">
        <f>SUMIFS('2.masterfirm'!E:E,'2.masterfirm'!C:C,summary!B36)</f>
        <v>4</v>
      </c>
      <c r="F36" s="10">
        <f t="shared" si="3"/>
        <v>0</v>
      </c>
    </row>
    <row r="37" spans="1:6" x14ac:dyDescent="0.25">
      <c r="C37" s="5">
        <f>SUM(C19:C36)</f>
        <v>130</v>
      </c>
      <c r="D37" s="5">
        <f>SUM(D19:D36)</f>
        <v>30</v>
      </c>
      <c r="E37" s="5">
        <f>SUM(E19:E36)</f>
        <v>160</v>
      </c>
      <c r="F37" s="10">
        <f t="shared" si="3"/>
        <v>0.1875</v>
      </c>
    </row>
    <row r="38" spans="1:6" x14ac:dyDescent="0.25">
      <c r="F38" s="10"/>
    </row>
    <row r="39" spans="1:6" s="12" customFormat="1" x14ac:dyDescent="0.25">
      <c r="F39" s="13"/>
    </row>
    <row r="40" spans="1:6" x14ac:dyDescent="0.25">
      <c r="A40" s="5" t="s">
        <v>664</v>
      </c>
    </row>
    <row r="41" spans="1:6" x14ac:dyDescent="0.25">
      <c r="A41" s="6" t="s">
        <v>629</v>
      </c>
      <c r="B41" s="6" t="s">
        <v>629</v>
      </c>
      <c r="C41" s="6" t="s">
        <v>659</v>
      </c>
      <c r="D41" s="6" t="s">
        <v>642</v>
      </c>
      <c r="E41" s="6" t="s">
        <v>637</v>
      </c>
      <c r="F41" s="6" t="s">
        <v>655</v>
      </c>
    </row>
    <row r="42" spans="1:6" x14ac:dyDescent="0.25">
      <c r="A42" t="s">
        <v>643</v>
      </c>
      <c r="B42" t="str">
        <f>A42</f>
        <v>Financial Sector</v>
      </c>
      <c r="C42">
        <f>SUM(C19:C22)</f>
        <v>62</v>
      </c>
      <c r="D42">
        <f>SUM(D19:D22)</f>
        <v>16</v>
      </c>
      <c r="E42">
        <f>SUM(E19:E22)</f>
        <v>78</v>
      </c>
      <c r="F42" s="10">
        <f t="shared" ref="F42:F47" si="7">D42/E42</f>
        <v>0.20512820512820512</v>
      </c>
    </row>
    <row r="43" spans="1:6" x14ac:dyDescent="0.25">
      <c r="A43" t="s">
        <v>627</v>
      </c>
      <c r="B43" t="str">
        <f t="shared" ref="B43:B46" si="8">A43</f>
        <v>Real Estate</v>
      </c>
      <c r="C43">
        <f t="shared" ref="C43" si="9">E43-D43</f>
        <v>0</v>
      </c>
      <c r="D43">
        <f>SUMIFS('2.masterfirm'!E:E,'2.masterfirm'!C:C,summary!B43,'2.masterfirm'!G:G,summary!$A$13)</f>
        <v>0</v>
      </c>
      <c r="E43">
        <f>SUMIFS('2.masterfirm'!E:E,'2.masterfirm'!C:C,summary!B43)</f>
        <v>0</v>
      </c>
      <c r="F43" s="10" t="e">
        <f t="shared" si="7"/>
        <v>#DIV/0!</v>
      </c>
    </row>
    <row r="44" spans="1:6" x14ac:dyDescent="0.25">
      <c r="A44" t="s">
        <v>625</v>
      </c>
      <c r="B44" t="str">
        <f t="shared" si="8"/>
        <v>Energy</v>
      </c>
      <c r="C44">
        <f t="shared" ref="C44:E45" si="10">C26</f>
        <v>8</v>
      </c>
      <c r="D44">
        <f t="shared" si="10"/>
        <v>1</v>
      </c>
      <c r="E44">
        <f t="shared" si="10"/>
        <v>9</v>
      </c>
      <c r="F44" s="10">
        <f t="shared" si="7"/>
        <v>0.1111111111111111</v>
      </c>
    </row>
    <row r="45" spans="1:6" x14ac:dyDescent="0.25">
      <c r="A45" t="s">
        <v>658</v>
      </c>
      <c r="B45" t="str">
        <f t="shared" si="8"/>
        <v>Agricuture</v>
      </c>
      <c r="C45">
        <f t="shared" si="10"/>
        <v>9</v>
      </c>
      <c r="D45">
        <f t="shared" si="10"/>
        <v>3</v>
      </c>
      <c r="E45">
        <f t="shared" si="10"/>
        <v>12</v>
      </c>
      <c r="F45" s="10">
        <f t="shared" si="7"/>
        <v>0.25</v>
      </c>
    </row>
    <row r="46" spans="1:6" x14ac:dyDescent="0.25">
      <c r="A46" t="s">
        <v>629</v>
      </c>
      <c r="B46" t="str">
        <f t="shared" si="8"/>
        <v>Industry</v>
      </c>
      <c r="C46">
        <f>SUM(C28:C33)</f>
        <v>22</v>
      </c>
      <c r="D46">
        <f>SUM(D28:D33)</f>
        <v>5</v>
      </c>
      <c r="E46">
        <f>SUM(E28:E33)</f>
        <v>27</v>
      </c>
      <c r="F46" s="10">
        <f t="shared" si="7"/>
        <v>0.18518518518518517</v>
      </c>
    </row>
    <row r="47" spans="1:6" ht="18.75" customHeight="1" x14ac:dyDescent="0.25">
      <c r="A47" t="s">
        <v>660</v>
      </c>
      <c r="B47" t="s">
        <v>660</v>
      </c>
      <c r="C47">
        <f>SUM(C35:C36)</f>
        <v>9</v>
      </c>
      <c r="D47">
        <f>SUM(D35:D36)</f>
        <v>2</v>
      </c>
      <c r="E47">
        <f>SUM(E35:E36)</f>
        <v>11</v>
      </c>
      <c r="F47" s="10">
        <f t="shared" si="7"/>
        <v>0.18181818181818182</v>
      </c>
    </row>
    <row r="61" spans="1:7" s="12" customFormat="1" x14ac:dyDescent="0.25">
      <c r="F61" s="13"/>
    </row>
    <row r="62" spans="1:7" x14ac:dyDescent="0.25">
      <c r="A62" s="5" t="s">
        <v>685</v>
      </c>
    </row>
    <row r="63" spans="1:7" x14ac:dyDescent="0.25">
      <c r="A63" s="22" t="s">
        <v>678</v>
      </c>
    </row>
    <row r="64" spans="1:7" x14ac:dyDescent="0.25">
      <c r="A64" s="6" t="s">
        <v>669</v>
      </c>
      <c r="B64" s="6" t="s">
        <v>669</v>
      </c>
      <c r="C64" s="6" t="s">
        <v>674</v>
      </c>
      <c r="D64" s="6" t="s">
        <v>675</v>
      </c>
      <c r="E64" s="6" t="s">
        <v>676</v>
      </c>
      <c r="F64" s="6" t="s">
        <v>677</v>
      </c>
      <c r="G64" s="6" t="s">
        <v>655</v>
      </c>
    </row>
    <row r="65" spans="1:7" x14ac:dyDescent="0.25">
      <c r="A65" s="2" t="s">
        <v>670</v>
      </c>
      <c r="B65" t="s">
        <v>671</v>
      </c>
      <c r="C65">
        <f>COUNTIFS('3.simple_text_analysis'!$P:$P,summary!A65)</f>
        <v>31</v>
      </c>
      <c r="D65" s="18">
        <f>SUMIFS('3.simple_text_analysis'!C:C,'3.simple_text_analysis'!$P:$P,summary!$A65)/C65</f>
        <v>21.70967741935484</v>
      </c>
      <c r="E65" s="19">
        <f>SUMIFS('3.simple_text_analysis'!D:D,'3.simple_text_analysis'!$P:$P,summary!$A65)/C65</f>
        <v>59723.903225806454</v>
      </c>
      <c r="F65" s="19">
        <f t="shared" ref="F65:F67" si="11">IFERROR(E65/D65,"")</f>
        <v>2751.0267459138186</v>
      </c>
      <c r="G65" s="8">
        <f>C65/C$68</f>
        <v>0.83783783783783783</v>
      </c>
    </row>
    <row r="66" spans="1:7" x14ac:dyDescent="0.25">
      <c r="A66" s="2" t="s">
        <v>667</v>
      </c>
      <c r="B66" t="s">
        <v>672</v>
      </c>
      <c r="C66">
        <f>COUNTIFS('3.simple_text_analysis'!$P:$P,summary!A66)</f>
        <v>3</v>
      </c>
      <c r="D66" s="18">
        <f>SUMIFS('3.simple_text_analysis'!C:C,'3.simple_text_analysis'!$P:$P,summary!$A66)/C66</f>
        <v>131.33333333333334</v>
      </c>
      <c r="E66" s="19">
        <f>SUMIFS('3.simple_text_analysis'!D:D,'3.simple_text_analysis'!$P:$P,summary!$A66)/C66</f>
        <v>325870.66666666669</v>
      </c>
      <c r="F66" s="19">
        <f t="shared" si="11"/>
        <v>2481.2487309644671</v>
      </c>
      <c r="G66" s="8">
        <f>C66/C$68</f>
        <v>8.1081081081081086E-2</v>
      </c>
    </row>
    <row r="67" spans="1:7" x14ac:dyDescent="0.25">
      <c r="A67" s="2" t="s">
        <v>668</v>
      </c>
      <c r="B67" t="s">
        <v>673</v>
      </c>
      <c r="C67">
        <f>COUNTIFS('3.simple_text_analysis'!$P:$P,summary!A67)</f>
        <v>3</v>
      </c>
      <c r="D67" s="18">
        <f>SUMIFS('3.simple_text_analysis'!C:C,'3.simple_text_analysis'!$P:$P,summary!$A67)/C67</f>
        <v>78.666666666666671</v>
      </c>
      <c r="E67" s="19">
        <f>SUMIFS('3.simple_text_analysis'!D:D,'3.simple_text_analysis'!$P:$P,summary!$A67)/C67</f>
        <v>162814.33333333334</v>
      </c>
      <c r="F67" s="19">
        <f t="shared" si="11"/>
        <v>2069.6737288135591</v>
      </c>
      <c r="G67" s="8">
        <f>C67/C$68</f>
        <v>8.1081081081081086E-2</v>
      </c>
    </row>
    <row r="68" spans="1:7" x14ac:dyDescent="0.25">
      <c r="B68" s="5" t="s">
        <v>641</v>
      </c>
      <c r="C68" s="5">
        <f>SUM(C65:C67)</f>
        <v>37</v>
      </c>
      <c r="G68" s="17">
        <f>C68/C$68</f>
        <v>1</v>
      </c>
    </row>
    <row r="87" spans="1:6" s="12" customFormat="1" x14ac:dyDescent="0.25">
      <c r="F87" s="13"/>
    </row>
    <row r="88" spans="1:6" x14ac:dyDescent="0.25">
      <c r="A88" s="5" t="s">
        <v>684</v>
      </c>
    </row>
    <row r="89" spans="1:6" x14ac:dyDescent="0.25">
      <c r="A89" s="22" t="s">
        <v>678</v>
      </c>
    </row>
    <row r="90" spans="1:6" x14ac:dyDescent="0.25">
      <c r="A90" s="6" t="s">
        <v>663</v>
      </c>
      <c r="B90" s="6" t="s">
        <v>629</v>
      </c>
      <c r="C90" s="6" t="s">
        <v>674</v>
      </c>
      <c r="D90" s="6" t="s">
        <v>675</v>
      </c>
      <c r="E90" s="6" t="s">
        <v>676</v>
      </c>
      <c r="F90" s="6" t="s">
        <v>677</v>
      </c>
    </row>
    <row r="91" spans="1:6" x14ac:dyDescent="0.25">
      <c r="A91" t="s">
        <v>643</v>
      </c>
      <c r="B91" t="s">
        <v>644</v>
      </c>
      <c r="C91">
        <f>COUNTIFS('3.simple_text_analysis'!$M:$M,summary!B91,'3.simple_text_analysis'!$P:$P,$A$65)</f>
        <v>5</v>
      </c>
      <c r="D91" s="20">
        <f>IFERROR(SUMIFS('3.simple_text_analysis'!C:C,'3.simple_text_analysis'!$M:$M,$B91,'3.simple_text_analysis'!$P:$P,$A$65)/C91,"--")</f>
        <v>9</v>
      </c>
      <c r="E91" s="21">
        <f>IFERROR(SUMIFS('3.simple_text_analysis'!D:D,'3.simple_text_analysis'!$M:$M,$B91,'3.simple_text_analysis'!$P:$P,$A$65)/C91,"--")</f>
        <v>34376.6</v>
      </c>
      <c r="F91" s="19">
        <f>IFERROR(E91/D91,"")</f>
        <v>3819.6222222222223</v>
      </c>
    </row>
    <row r="92" spans="1:6" x14ac:dyDescent="0.25">
      <c r="B92" t="s">
        <v>646</v>
      </c>
      <c r="C92">
        <f>COUNTIFS('3.simple_text_analysis'!$M:$M,summary!B92,'3.simple_text_analysis'!$P:$P,$A$65)</f>
        <v>9</v>
      </c>
      <c r="D92" s="20">
        <f>IFERROR(SUMIFS('3.simple_text_analysis'!C:C,'3.simple_text_analysis'!$M:$M,$B92,'3.simple_text_analysis'!$P:$P,$A$65)/C92,"--")</f>
        <v>19.111111111111111</v>
      </c>
      <c r="E92" s="21">
        <f>IFERROR(SUMIFS('3.simple_text_analysis'!D:D,'3.simple_text_analysis'!$M:$M,$B92,'3.simple_text_analysis'!$P:$P,$A$65)/C92,"--")</f>
        <v>43623.555555555555</v>
      </c>
      <c r="F92" s="19">
        <f t="shared" ref="F92:F108" si="12">IFERROR(E92/D92,"")</f>
        <v>2282.6279069767443</v>
      </c>
    </row>
    <row r="93" spans="1:6" x14ac:dyDescent="0.25">
      <c r="B93" t="s">
        <v>645</v>
      </c>
      <c r="C93">
        <f>COUNTIFS('3.simple_text_analysis'!$M:$M,summary!B93,'3.simple_text_analysis'!$P:$P,$A$65)</f>
        <v>0</v>
      </c>
      <c r="D93" s="20" t="str">
        <f>IFERROR(SUMIFS('3.simple_text_analysis'!C:C,'3.simple_text_analysis'!$M:$M,$B93,'3.simple_text_analysis'!$P:$P,$A$65)/C93,"--")</f>
        <v>--</v>
      </c>
      <c r="E93" s="21" t="str">
        <f>IFERROR(SUMIFS('3.simple_text_analysis'!D:D,'3.simple_text_analysis'!$M:$M,$B93,'3.simple_text_analysis'!$P:$P,$A$65)/C93,"--")</f>
        <v>--</v>
      </c>
      <c r="F93" s="19" t="str">
        <f t="shared" si="12"/>
        <v/>
      </c>
    </row>
    <row r="94" spans="1:6" x14ac:dyDescent="0.25">
      <c r="B94" t="s">
        <v>626</v>
      </c>
      <c r="C94">
        <f>COUNTIFS('3.simple_text_analysis'!$M:$M,summary!B94,'3.simple_text_analysis'!$P:$P,$A$65)</f>
        <v>4</v>
      </c>
      <c r="D94" s="20">
        <f>IFERROR(SUMIFS('3.simple_text_analysis'!C:C,'3.simple_text_analysis'!$M:$M,$B94,'3.simple_text_analysis'!$P:$P,$A$65)/C94,"--")</f>
        <v>21.5</v>
      </c>
      <c r="E94" s="21">
        <f>IFERROR(SUMIFS('3.simple_text_analysis'!D:D,'3.simple_text_analysis'!$M:$M,$B94,'3.simple_text_analysis'!$P:$P,$A$65)/C94,"--")</f>
        <v>45337</v>
      </c>
      <c r="F94" s="19">
        <f t="shared" si="12"/>
        <v>2108.6976744186045</v>
      </c>
    </row>
    <row r="95" spans="1:6" x14ac:dyDescent="0.25">
      <c r="B95" t="s">
        <v>647</v>
      </c>
      <c r="C95">
        <f>COUNTIFS('3.simple_text_analysis'!$M:$M,summary!B95,'3.simple_text_analysis'!$P:$P,$A$65)</f>
        <v>0</v>
      </c>
      <c r="D95" s="20" t="str">
        <f>IFERROR(SUMIFS('3.simple_text_analysis'!C:C,'3.simple_text_analysis'!$M:$M,$B95,'3.simple_text_analysis'!$P:$P,$A$65)/C95,"--")</f>
        <v>--</v>
      </c>
      <c r="E95" s="21" t="str">
        <f>IFERROR(SUMIFS('3.simple_text_analysis'!D:D,'3.simple_text_analysis'!$M:$M,$B95,'3.simple_text_analysis'!$P:$P,$A$65)/C95,"--")</f>
        <v>--</v>
      </c>
      <c r="F95" s="19" t="str">
        <f t="shared" si="12"/>
        <v/>
      </c>
    </row>
    <row r="96" spans="1:6" x14ac:dyDescent="0.25">
      <c r="A96" t="s">
        <v>627</v>
      </c>
      <c r="B96" t="s">
        <v>627</v>
      </c>
      <c r="C96">
        <f>COUNTIFS('3.simple_text_analysis'!$M:$M,summary!B96,'3.simple_text_analysis'!$P:$P,$A$65)</f>
        <v>0</v>
      </c>
      <c r="D96" s="20" t="str">
        <f>IFERROR(SUMIFS('3.simple_text_analysis'!C:C,'3.simple_text_analysis'!$M:$M,$B96,'3.simple_text_analysis'!$P:$P,$A$65)/C96,"--")</f>
        <v>--</v>
      </c>
      <c r="E96" s="21" t="str">
        <f>IFERROR(SUMIFS('3.simple_text_analysis'!D:D,'3.simple_text_analysis'!$M:$M,$B96,'3.simple_text_analysis'!$P:$P,$A$65)/C96,"--")</f>
        <v>--</v>
      </c>
      <c r="F96" s="19" t="str">
        <f t="shared" si="12"/>
        <v/>
      </c>
    </row>
    <row r="97" spans="1:6" x14ac:dyDescent="0.25">
      <c r="A97" t="s">
        <v>625</v>
      </c>
      <c r="B97" t="s">
        <v>625</v>
      </c>
      <c r="C97">
        <f>COUNTIFS('3.simple_text_analysis'!$M:$M,summary!B97,'3.simple_text_analysis'!$P:$P,$A$65)</f>
        <v>1</v>
      </c>
      <c r="D97" s="20">
        <f>IFERROR(SUMIFS('3.simple_text_analysis'!C:C,'3.simple_text_analysis'!$M:$M,$B97,'3.simple_text_analysis'!$P:$P,$A$65)/C97,"--")</f>
        <v>25</v>
      </c>
      <c r="E97" s="21">
        <f>IFERROR(SUMIFS('3.simple_text_analysis'!D:D,'3.simple_text_analysis'!$M:$M,$B97,'3.simple_text_analysis'!$P:$P,$A$65)/C97,"--")</f>
        <v>126445</v>
      </c>
      <c r="F97" s="19">
        <f t="shared" si="12"/>
        <v>5057.8</v>
      </c>
    </row>
    <row r="98" spans="1:6" x14ac:dyDescent="0.25">
      <c r="A98" t="s">
        <v>658</v>
      </c>
      <c r="B98" t="s">
        <v>648</v>
      </c>
      <c r="C98">
        <f>COUNTIFS('3.simple_text_analysis'!$M:$M,summary!B98,'3.simple_text_analysis'!$P:$P,$A$65)</f>
        <v>2</v>
      </c>
      <c r="D98" s="20">
        <f>IFERROR(SUMIFS('3.simple_text_analysis'!C:C,'3.simple_text_analysis'!$M:$M,$B98,'3.simple_text_analysis'!$P:$P,$A$65)/C98,"--")</f>
        <v>23</v>
      </c>
      <c r="E98" s="21">
        <f>IFERROR(SUMIFS('3.simple_text_analysis'!D:D,'3.simple_text_analysis'!$M:$M,$B98,'3.simple_text_analysis'!$P:$P,$A$65)/C98,"--")</f>
        <v>68853.5</v>
      </c>
      <c r="F98" s="19">
        <f t="shared" si="12"/>
        <v>2993.6304347826085</v>
      </c>
    </row>
    <row r="99" spans="1:6" x14ac:dyDescent="0.25">
      <c r="A99" t="s">
        <v>629</v>
      </c>
      <c r="B99" t="s">
        <v>624</v>
      </c>
      <c r="C99">
        <f>COUNTIFS('3.simple_text_analysis'!$M:$M,summary!B99,'3.simple_text_analysis'!$P:$P,$A$65)</f>
        <v>0</v>
      </c>
      <c r="D99" s="20" t="str">
        <f>IFERROR(SUMIFS('3.simple_text_analysis'!C:C,'3.simple_text_analysis'!$M:$M,$B99,'3.simple_text_analysis'!$P:$P,$A$65)/C99,"--")</f>
        <v>--</v>
      </c>
      <c r="E99" s="21" t="str">
        <f>IFERROR(SUMIFS('3.simple_text_analysis'!D:D,'3.simple_text_analysis'!$M:$M,$B99,'3.simple_text_analysis'!$P:$P,$A$65)/C99,"--")</f>
        <v>--</v>
      </c>
      <c r="F99" s="19" t="str">
        <f t="shared" si="12"/>
        <v/>
      </c>
    </row>
    <row r="100" spans="1:6" x14ac:dyDescent="0.25">
      <c r="B100" t="s">
        <v>656</v>
      </c>
      <c r="C100">
        <f>COUNTIFS('3.simple_text_analysis'!$M:$M,summary!B100,'3.simple_text_analysis'!$P:$P,$A$65)</f>
        <v>2</v>
      </c>
      <c r="D100" s="20">
        <f>IFERROR(SUMIFS('3.simple_text_analysis'!C:C,'3.simple_text_analysis'!$M:$M,$B100,'3.simple_text_analysis'!$P:$P,$A$65)/C100,"--")</f>
        <v>23</v>
      </c>
      <c r="E100" s="21">
        <f>IFERROR(SUMIFS('3.simple_text_analysis'!D:D,'3.simple_text_analysis'!$M:$M,$B100,'3.simple_text_analysis'!$P:$P,$A$65)/C100,"--")</f>
        <v>51626</v>
      </c>
      <c r="F100" s="19">
        <f t="shared" si="12"/>
        <v>2244.608695652174</v>
      </c>
    </row>
    <row r="101" spans="1:6" x14ac:dyDescent="0.25">
      <c r="B101" t="s">
        <v>657</v>
      </c>
      <c r="C101">
        <f>COUNTIFS('3.simple_text_analysis'!$M:$M,summary!B101,'3.simple_text_analysis'!$P:$P,$A$65)</f>
        <v>0</v>
      </c>
      <c r="D101" s="20" t="str">
        <f>IFERROR(SUMIFS('3.simple_text_analysis'!C:C,'3.simple_text_analysis'!$M:$M,$B101,'3.simple_text_analysis'!$P:$P,$A$65)/C101,"--")</f>
        <v>--</v>
      </c>
      <c r="E101" s="21" t="str">
        <f>IFERROR(SUMIFS('3.simple_text_analysis'!D:D,'3.simple_text_analysis'!$M:$M,$B101,'3.simple_text_analysis'!$P:$P,$A$65)/C101,"--")</f>
        <v>--</v>
      </c>
      <c r="F101" s="19" t="str">
        <f t="shared" si="12"/>
        <v/>
      </c>
    </row>
    <row r="102" spans="1:6" x14ac:dyDescent="0.25">
      <c r="B102" t="s">
        <v>654</v>
      </c>
      <c r="C102">
        <f>COUNTIFS('3.simple_text_analysis'!$M:$M,summary!B102,'3.simple_text_analysis'!$P:$P,$A$65)</f>
        <v>0</v>
      </c>
      <c r="D102" s="20" t="str">
        <f>IFERROR(SUMIFS('3.simple_text_analysis'!C:C,'3.simple_text_analysis'!$M:$M,$B102,'3.simple_text_analysis'!$P:$P,$A$65)/C102,"--")</f>
        <v>--</v>
      </c>
      <c r="E102" s="21" t="str">
        <f>IFERROR(SUMIFS('3.simple_text_analysis'!D:D,'3.simple_text_analysis'!$M:$M,$B102,'3.simple_text_analysis'!$P:$P,$A$65)/C102,"--")</f>
        <v>--</v>
      </c>
      <c r="F102" s="19" t="str">
        <f t="shared" si="12"/>
        <v/>
      </c>
    </row>
    <row r="103" spans="1:6" x14ac:dyDescent="0.25">
      <c r="B103" t="s">
        <v>651</v>
      </c>
      <c r="C103">
        <f>COUNTIFS('3.simple_text_analysis'!$M:$M,summary!B103,'3.simple_text_analysis'!$P:$P,$A$65)</f>
        <v>0</v>
      </c>
      <c r="D103" s="20" t="str">
        <f>IFERROR(SUMIFS('3.simple_text_analysis'!C:C,'3.simple_text_analysis'!$M:$M,$B103,'3.simple_text_analysis'!$P:$P,$A$65)/C103,"--")</f>
        <v>--</v>
      </c>
      <c r="E103" s="21" t="str">
        <f>IFERROR(SUMIFS('3.simple_text_analysis'!D:D,'3.simple_text_analysis'!$M:$M,$B103,'3.simple_text_analysis'!$P:$P,$A$65)/C103,"--")</f>
        <v>--</v>
      </c>
      <c r="F103" s="19" t="str">
        <f t="shared" si="12"/>
        <v/>
      </c>
    </row>
    <row r="104" spans="1:6" x14ac:dyDescent="0.25">
      <c r="B104" t="s">
        <v>653</v>
      </c>
      <c r="C104">
        <f>COUNTIFS('3.simple_text_analysis'!$M:$M,summary!B104,'3.simple_text_analysis'!$P:$P,$A$65)</f>
        <v>1</v>
      </c>
      <c r="D104" s="20">
        <f>IFERROR(SUMIFS('3.simple_text_analysis'!C:C,'3.simple_text_analysis'!$M:$M,$B104,'3.simple_text_analysis'!$P:$P,$A$65)/C104,"--")</f>
        <v>23</v>
      </c>
      <c r="E104" s="21">
        <f>IFERROR(SUMIFS('3.simple_text_analysis'!D:D,'3.simple_text_analysis'!$M:$M,$B104,'3.simple_text_analysis'!$P:$P,$A$65)/C104,"--")</f>
        <v>70344</v>
      </c>
      <c r="F104" s="19">
        <f t="shared" si="12"/>
        <v>3058.4347826086955</v>
      </c>
    </row>
    <row r="105" spans="1:6" x14ac:dyDescent="0.25">
      <c r="A105" t="s">
        <v>632</v>
      </c>
      <c r="B105" t="s">
        <v>649</v>
      </c>
      <c r="C105">
        <f>COUNTIFS('3.simple_text_analysis'!$M:$M,summary!B105,'3.simple_text_analysis'!$P:$P,$A$65)</f>
        <v>1</v>
      </c>
      <c r="D105" s="20">
        <f>IFERROR(SUMIFS('3.simple_text_analysis'!C:C,'3.simple_text_analysis'!$M:$M,$B105,'3.simple_text_analysis'!$P:$P,$A$65)/C105,"--")</f>
        <v>31</v>
      </c>
      <c r="E105" s="21">
        <f>IFERROR(SUMIFS('3.simple_text_analysis'!D:D,'3.simple_text_analysis'!$M:$M,$B105,'3.simple_text_analysis'!$P:$P,$A$65)/C105,"--")</f>
        <v>59162</v>
      </c>
      <c r="F105" s="19">
        <f t="shared" si="12"/>
        <v>1908.4516129032259</v>
      </c>
    </row>
    <row r="106" spans="1:6" x14ac:dyDescent="0.25">
      <c r="B106" t="s">
        <v>650</v>
      </c>
      <c r="C106">
        <f>COUNTIFS('3.simple_text_analysis'!$M:$M,summary!B106,'3.simple_text_analysis'!$P:$P,$A$65)</f>
        <v>0</v>
      </c>
      <c r="D106" s="20" t="str">
        <f>IFERROR(SUMIFS('3.simple_text_analysis'!C:C,'3.simple_text_analysis'!$M:$M,$B106,'3.simple_text_analysis'!$P:$P,$A$65)/C106,"--")</f>
        <v>--</v>
      </c>
      <c r="E106" s="21" t="str">
        <f>IFERROR(SUMIFS('3.simple_text_analysis'!D:D,'3.simple_text_analysis'!$M:$M,$B106,'3.simple_text_analysis'!$P:$P,$A$65)/C106,"--")</f>
        <v>--</v>
      </c>
      <c r="F106" s="19" t="str">
        <f t="shared" si="12"/>
        <v/>
      </c>
    </row>
    <row r="107" spans="1:6" x14ac:dyDescent="0.25">
      <c r="B107" t="s">
        <v>652</v>
      </c>
      <c r="C107">
        <f>COUNTIFS('3.simple_text_analysis'!$M:$M,summary!B107,'3.simple_text_analysis'!$P:$P,$A$65)</f>
        <v>0</v>
      </c>
      <c r="D107" s="20" t="str">
        <f>IFERROR(SUMIFS('3.simple_text_analysis'!C:C,'3.simple_text_analysis'!$M:$M,$B107,'3.simple_text_analysis'!$P:$P,$A$65)/C107,"--")</f>
        <v>--</v>
      </c>
      <c r="E107" s="21" t="str">
        <f>IFERROR(SUMIFS('3.simple_text_analysis'!D:D,'3.simple_text_analysis'!$M:$M,$B107,'3.simple_text_analysis'!$P:$P,$A$65)/C107,"--")</f>
        <v>--</v>
      </c>
      <c r="F107" s="19" t="str">
        <f t="shared" si="12"/>
        <v/>
      </c>
    </row>
    <row r="108" spans="1:6" x14ac:dyDescent="0.25">
      <c r="B108" s="7" t="s">
        <v>560</v>
      </c>
      <c r="C108" s="7">
        <f>SUM(C91:C107)</f>
        <v>25</v>
      </c>
      <c r="D108" s="25">
        <f>IFERROR(SUMIFS('3.simple_text_analysis'!C:C,'3.simple_text_analysis'!$P:$P,$A$65)/C108,"--")</f>
        <v>26.92</v>
      </c>
      <c r="E108" s="26">
        <f>IFERROR(SUMIFS('3.simple_text_analysis'!D:D,'3.simple_text_analysis'!$P:$P,$A$65)/C108,"--")</f>
        <v>74057.64</v>
      </c>
      <c r="F108" s="26">
        <f t="shared" si="12"/>
        <v>2751.0267459138186</v>
      </c>
    </row>
    <row r="110" spans="1:6" s="12" customFormat="1" x14ac:dyDescent="0.25">
      <c r="F110" s="13"/>
    </row>
    <row r="111" spans="1:6" x14ac:dyDescent="0.25">
      <c r="A111" s="5" t="s">
        <v>679</v>
      </c>
    </row>
    <row r="112" spans="1:6" x14ac:dyDescent="0.25">
      <c r="A112" s="22" t="s">
        <v>678</v>
      </c>
    </row>
    <row r="113" spans="1:6" x14ac:dyDescent="0.25">
      <c r="A113" s="6" t="s">
        <v>663</v>
      </c>
      <c r="B113" s="6" t="s">
        <v>629</v>
      </c>
      <c r="C113" s="6" t="s">
        <v>680</v>
      </c>
      <c r="D113" s="6" t="s">
        <v>681</v>
      </c>
      <c r="E113" s="6" t="s">
        <v>682</v>
      </c>
      <c r="F113" s="6" t="s">
        <v>683</v>
      </c>
    </row>
    <row r="114" spans="1:6" x14ac:dyDescent="0.25">
      <c r="A114" t="s">
        <v>643</v>
      </c>
      <c r="B114" t="s">
        <v>644</v>
      </c>
      <c r="C114" s="24">
        <f>IFERROR(SUMIFS('3.simple_text_analysis'!F:F,'3.simple_text_analysis'!$M:$M,summary!$B114,'3.simple_text_analysis'!$P:$P,$A$65)/$C91,"")</f>
        <v>0.01</v>
      </c>
      <c r="D114" s="24">
        <f>IFERROR(SUMIFS('3.simple_text_analysis'!G:G,'3.simple_text_analysis'!$M:$M,summary!$B114,'3.simple_text_analysis'!$P:$P,$A$65)/$C91,"")</f>
        <v>0.16880000000000001</v>
      </c>
      <c r="E114" s="24">
        <f>IFERROR(SUMIFS('3.simple_text_analysis'!H:H,'3.simple_text_analysis'!$M:$M,summary!$B114,'3.simple_text_analysis'!$P:$P,$A$65)/$C91,"")</f>
        <v>2.12E-2</v>
      </c>
      <c r="F114" s="23">
        <f>IFERROR(SUMIFS('3.simple_text_analysis'!I:I,'3.simple_text_analysis'!$M:$M,summary!$B114,'3.simple_text_analysis'!$P:$P,$A$65)/$C91,"")</f>
        <v>0.2</v>
      </c>
    </row>
    <row r="115" spans="1:6" x14ac:dyDescent="0.25">
      <c r="B115" t="s">
        <v>646</v>
      </c>
      <c r="C115" s="24">
        <f>IFERROR(SUMIFS('3.simple_text_analysis'!F:F,'3.simple_text_analysis'!$M:$M,summary!$B115,'3.simple_text_analysis'!$P:$P,$A$65)/$C92,"")</f>
        <v>5.9555555555555556E-2</v>
      </c>
      <c r="D115" s="24">
        <f>IFERROR(SUMIFS('3.simple_text_analysis'!G:G,'3.simple_text_analysis'!$M:$M,summary!$B115,'3.simple_text_analysis'!$P:$P,$A$65)/$C92,"")</f>
        <v>0.66544444444444439</v>
      </c>
      <c r="E115" s="24">
        <f>IFERROR(SUMIFS('3.simple_text_analysis'!H:H,'3.simple_text_analysis'!$M:$M,summary!$B115,'3.simple_text_analysis'!$P:$P,$A$65)/$C92,"")</f>
        <v>5.2888888888888888E-2</v>
      </c>
      <c r="F115" s="23">
        <f>IFERROR(SUMIFS('3.simple_text_analysis'!I:I,'3.simple_text_analysis'!$M:$M,summary!$B115,'3.simple_text_analysis'!$P:$P,$A$65)/$C92,"")</f>
        <v>-0.46496666666666658</v>
      </c>
    </row>
    <row r="116" spans="1:6" x14ac:dyDescent="0.25">
      <c r="B116" t="s">
        <v>645</v>
      </c>
      <c r="C116" s="24" t="str">
        <f>IFERROR(SUMIFS('3.simple_text_analysis'!F:F,'3.simple_text_analysis'!$M:$M,summary!$B116,'3.simple_text_analysis'!$P:$P,$A$65)/$C93,"")</f>
        <v/>
      </c>
      <c r="D116" s="24" t="str">
        <f>IFERROR(SUMIFS('3.simple_text_analysis'!G:G,'3.simple_text_analysis'!$M:$M,summary!$B116,'3.simple_text_analysis'!$P:$P,$A$65)/$C93,"")</f>
        <v/>
      </c>
      <c r="E116" s="24" t="str">
        <f>IFERROR(SUMIFS('3.simple_text_analysis'!H:H,'3.simple_text_analysis'!$M:$M,summary!$B116,'3.simple_text_analysis'!$P:$P,$A$65)/$C93,"")</f>
        <v/>
      </c>
      <c r="F116" s="23" t="str">
        <f>IFERROR(SUMIFS('3.simple_text_analysis'!I:I,'3.simple_text_analysis'!$M:$M,summary!$B116,'3.simple_text_analysis'!$P:$P,$A$65)/$C93,"")</f>
        <v/>
      </c>
    </row>
    <row r="117" spans="1:6" x14ac:dyDescent="0.25">
      <c r="B117" t="s">
        <v>626</v>
      </c>
      <c r="C117" s="24">
        <f>IFERROR(SUMIFS('3.simple_text_analysis'!F:F,'3.simple_text_analysis'!$M:$M,summary!$B117,'3.simple_text_analysis'!$P:$P,$A$65)/$C94,"")</f>
        <v>4.8500000000000001E-2</v>
      </c>
      <c r="D117" s="24">
        <f>IFERROR(SUMIFS('3.simple_text_analysis'!G:G,'3.simple_text_analysis'!$M:$M,summary!$B117,'3.simple_text_analysis'!$P:$P,$A$65)/$C94,"")</f>
        <v>0.88249999999999995</v>
      </c>
      <c r="E117" s="24">
        <f>IFERROR(SUMIFS('3.simple_text_analysis'!H:H,'3.simple_text_analysis'!$M:$M,summary!$B117,'3.simple_text_analysis'!$P:$P,$A$65)/$C94,"")</f>
        <v>6.9000000000000006E-2</v>
      </c>
      <c r="F117" s="23">
        <f>IFERROR(SUMIFS('3.simple_text_analysis'!I:I,'3.simple_text_analysis'!$M:$M,summary!$B117,'3.simple_text_analysis'!$P:$P,$A$65)/$C94,"")</f>
        <v>0.74970000000000003</v>
      </c>
    </row>
    <row r="118" spans="1:6" x14ac:dyDescent="0.25">
      <c r="B118" t="s">
        <v>647</v>
      </c>
      <c r="C118" s="24" t="str">
        <f>IFERROR(SUMIFS('3.simple_text_analysis'!F:F,'3.simple_text_analysis'!$M:$M,summary!$B118,'3.simple_text_analysis'!$P:$P,$A$65)/$C95,"")</f>
        <v/>
      </c>
      <c r="D118" s="24" t="str">
        <f>IFERROR(SUMIFS('3.simple_text_analysis'!G:G,'3.simple_text_analysis'!$M:$M,summary!$B118,'3.simple_text_analysis'!$P:$P,$A$65)/$C95,"")</f>
        <v/>
      </c>
      <c r="E118" s="24" t="str">
        <f>IFERROR(SUMIFS('3.simple_text_analysis'!H:H,'3.simple_text_analysis'!$M:$M,summary!$B118,'3.simple_text_analysis'!$P:$P,$A$65)/$C95,"")</f>
        <v/>
      </c>
      <c r="F118" s="23" t="str">
        <f>IFERROR(SUMIFS('3.simple_text_analysis'!I:I,'3.simple_text_analysis'!$M:$M,summary!$B118,'3.simple_text_analysis'!$P:$P,$A$65)/$C95,"")</f>
        <v/>
      </c>
    </row>
    <row r="119" spans="1:6" x14ac:dyDescent="0.25">
      <c r="A119" t="s">
        <v>627</v>
      </c>
      <c r="B119" t="s">
        <v>627</v>
      </c>
      <c r="C119" s="24" t="str">
        <f>IFERROR(SUMIFS('3.simple_text_analysis'!F:F,'3.simple_text_analysis'!$M:$M,summary!$B119,'3.simple_text_analysis'!$P:$P,$A$65)/$C96,"")</f>
        <v/>
      </c>
      <c r="D119" s="24" t="str">
        <f>IFERROR(SUMIFS('3.simple_text_analysis'!G:G,'3.simple_text_analysis'!$M:$M,summary!$B119,'3.simple_text_analysis'!$P:$P,$A$65)/$C96,"")</f>
        <v/>
      </c>
      <c r="E119" s="24" t="str">
        <f>IFERROR(SUMIFS('3.simple_text_analysis'!H:H,'3.simple_text_analysis'!$M:$M,summary!$B119,'3.simple_text_analysis'!$P:$P,$A$65)/$C96,"")</f>
        <v/>
      </c>
      <c r="F119" s="23" t="str">
        <f>IFERROR(SUMIFS('3.simple_text_analysis'!I:I,'3.simple_text_analysis'!$M:$M,summary!$B119,'3.simple_text_analysis'!$P:$P,$A$65)/$C96,"")</f>
        <v/>
      </c>
    </row>
    <row r="120" spans="1:6" x14ac:dyDescent="0.25">
      <c r="A120" t="s">
        <v>625</v>
      </c>
      <c r="B120" t="s">
        <v>625</v>
      </c>
      <c r="C120" s="24">
        <f>IFERROR(SUMIFS('3.simple_text_analysis'!F:F,'3.simple_text_analysis'!$M:$M,summary!$B120,'3.simple_text_analysis'!$P:$P,$A$65)/$C97,"")</f>
        <v>7.0999999999999994E-2</v>
      </c>
      <c r="D120" s="24">
        <f>IFERROR(SUMIFS('3.simple_text_analysis'!G:G,'3.simple_text_analysis'!$M:$M,summary!$B120,'3.simple_text_analysis'!$P:$P,$A$65)/$C97,"")</f>
        <v>0.81</v>
      </c>
      <c r="E120" s="24">
        <f>IFERROR(SUMIFS('3.simple_text_analysis'!H:H,'3.simple_text_analysis'!$M:$M,summary!$B120,'3.simple_text_analysis'!$P:$P,$A$65)/$C97,"")</f>
        <v>0.11899999999999999</v>
      </c>
      <c r="F120" s="23">
        <f>IFERROR(SUMIFS('3.simple_text_analysis'!I:I,'3.simple_text_analysis'!$M:$M,summary!$B120,'3.simple_text_analysis'!$P:$P,$A$65)/$C97,"")</f>
        <v>1</v>
      </c>
    </row>
    <row r="121" spans="1:6" x14ac:dyDescent="0.25">
      <c r="A121" t="s">
        <v>658</v>
      </c>
      <c r="B121" t="s">
        <v>648</v>
      </c>
      <c r="C121" s="24">
        <f>IFERROR(SUMIFS('3.simple_text_analysis'!F:F,'3.simple_text_analysis'!$M:$M,summary!$B121,'3.simple_text_analysis'!$P:$P,$A$65)/$C98,"")</f>
        <v>7.6499999999999999E-2</v>
      </c>
      <c r="D121" s="24">
        <f>IFERROR(SUMIFS('3.simple_text_analysis'!G:G,'3.simple_text_analysis'!$M:$M,summary!$B121,'3.simple_text_analysis'!$P:$P,$A$65)/$C98,"")</f>
        <v>0.84549999999999992</v>
      </c>
      <c r="E121" s="24">
        <f>IFERROR(SUMIFS('3.simple_text_analysis'!H:H,'3.simple_text_analysis'!$M:$M,summary!$B121,'3.simple_text_analysis'!$P:$P,$A$65)/$C98,"")</f>
        <v>7.85E-2</v>
      </c>
      <c r="F121" s="23">
        <f>IFERROR(SUMIFS('3.simple_text_analysis'!I:I,'3.simple_text_analysis'!$M:$M,summary!$B121,'3.simple_text_analysis'!$P:$P,$A$65)/$C98,"")</f>
        <v>6.4999999999998392E-4</v>
      </c>
    </row>
    <row r="122" spans="1:6" x14ac:dyDescent="0.25">
      <c r="A122" t="s">
        <v>629</v>
      </c>
      <c r="B122" t="s">
        <v>624</v>
      </c>
      <c r="C122" s="24" t="str">
        <f>IFERROR(SUMIFS('3.simple_text_analysis'!F:F,'3.simple_text_analysis'!$M:$M,summary!$B122,'3.simple_text_analysis'!$P:$P,$A$65)/$C99,"")</f>
        <v/>
      </c>
      <c r="D122" s="24" t="str">
        <f>IFERROR(SUMIFS('3.simple_text_analysis'!G:G,'3.simple_text_analysis'!$M:$M,summary!$B122,'3.simple_text_analysis'!$P:$P,$A$65)/$C99,"")</f>
        <v/>
      </c>
      <c r="E122" s="24" t="str">
        <f>IFERROR(SUMIFS('3.simple_text_analysis'!H:H,'3.simple_text_analysis'!$M:$M,summary!$B122,'3.simple_text_analysis'!$P:$P,$A$65)/$C99,"")</f>
        <v/>
      </c>
      <c r="F122" s="23" t="str">
        <f>IFERROR(SUMIFS('3.simple_text_analysis'!I:I,'3.simple_text_analysis'!$M:$M,summary!$B122,'3.simple_text_analysis'!$P:$P,$A$65)/$C99,"")</f>
        <v/>
      </c>
    </row>
    <row r="123" spans="1:6" x14ac:dyDescent="0.25">
      <c r="B123" t="s">
        <v>656</v>
      </c>
      <c r="C123" s="24">
        <f>IFERROR(SUMIFS('3.simple_text_analysis'!F:F,'3.simple_text_analysis'!$M:$M,summary!$B123,'3.simple_text_analysis'!$P:$P,$A$65)/$C100,"")</f>
        <v>7.1000000000000008E-2</v>
      </c>
      <c r="D123" s="24">
        <f>IFERROR(SUMIFS('3.simple_text_analysis'!G:G,'3.simple_text_analysis'!$M:$M,summary!$B123,'3.simple_text_analysis'!$P:$P,$A$65)/$C100,"")</f>
        <v>0.84650000000000003</v>
      </c>
      <c r="E123" s="24">
        <f>IFERROR(SUMIFS('3.simple_text_analysis'!H:H,'3.simple_text_analysis'!$M:$M,summary!$B123,'3.simple_text_analysis'!$P:$P,$A$65)/$C100,"")</f>
        <v>8.249999999999999E-2</v>
      </c>
      <c r="F123" s="23">
        <f>IFERROR(SUMIFS('3.simple_text_analysis'!I:I,'3.simple_text_analysis'!$M:$M,summary!$B123,'3.simple_text_analysis'!$P:$P,$A$65)/$C100,"")</f>
        <v>0.99590000000000001</v>
      </c>
    </row>
    <row r="124" spans="1:6" x14ac:dyDescent="0.25">
      <c r="B124" t="s">
        <v>657</v>
      </c>
      <c r="C124" s="24" t="str">
        <f>IFERROR(SUMIFS('3.simple_text_analysis'!F:F,'3.simple_text_analysis'!$M:$M,summary!$B124,'3.simple_text_analysis'!$P:$P,$A$65)/$C101,"")</f>
        <v/>
      </c>
      <c r="D124" s="24" t="str">
        <f>IFERROR(SUMIFS('3.simple_text_analysis'!G:G,'3.simple_text_analysis'!$M:$M,summary!$B124,'3.simple_text_analysis'!$P:$P,$A$65)/$C101,"")</f>
        <v/>
      </c>
      <c r="E124" s="24" t="str">
        <f>IFERROR(SUMIFS('3.simple_text_analysis'!H:H,'3.simple_text_analysis'!$M:$M,summary!$B124,'3.simple_text_analysis'!$P:$P,$A$65)/$C101,"")</f>
        <v/>
      </c>
      <c r="F124" s="23" t="str">
        <f>IFERROR(SUMIFS('3.simple_text_analysis'!I:I,'3.simple_text_analysis'!$M:$M,summary!$B124,'3.simple_text_analysis'!$P:$P,$A$65)/$C101,"")</f>
        <v/>
      </c>
    </row>
    <row r="125" spans="1:6" x14ac:dyDescent="0.25">
      <c r="B125" t="s">
        <v>654</v>
      </c>
      <c r="C125" s="24" t="str">
        <f>IFERROR(SUMIFS('3.simple_text_analysis'!F:F,'3.simple_text_analysis'!$M:$M,summary!$B125,'3.simple_text_analysis'!$P:$P,$A$65)/$C102,"")</f>
        <v/>
      </c>
      <c r="D125" s="24" t="str">
        <f>IFERROR(SUMIFS('3.simple_text_analysis'!G:G,'3.simple_text_analysis'!$M:$M,summary!$B125,'3.simple_text_analysis'!$P:$P,$A$65)/$C102,"")</f>
        <v/>
      </c>
      <c r="E125" s="24" t="str">
        <f>IFERROR(SUMIFS('3.simple_text_analysis'!H:H,'3.simple_text_analysis'!$M:$M,summary!$B125,'3.simple_text_analysis'!$P:$P,$A$65)/$C102,"")</f>
        <v/>
      </c>
      <c r="F125" s="23" t="str">
        <f>IFERROR(SUMIFS('3.simple_text_analysis'!I:I,'3.simple_text_analysis'!$M:$M,summary!$B125,'3.simple_text_analysis'!$P:$P,$A$65)/$C102,"")</f>
        <v/>
      </c>
    </row>
    <row r="126" spans="1:6" x14ac:dyDescent="0.25">
      <c r="B126" t="s">
        <v>651</v>
      </c>
      <c r="C126" s="24" t="str">
        <f>IFERROR(SUMIFS('3.simple_text_analysis'!F:F,'3.simple_text_analysis'!$M:$M,summary!$B126,'3.simple_text_analysis'!$P:$P,$A$65)/$C103,"")</f>
        <v/>
      </c>
      <c r="D126" s="24" t="str">
        <f>IFERROR(SUMIFS('3.simple_text_analysis'!G:G,'3.simple_text_analysis'!$M:$M,summary!$B126,'3.simple_text_analysis'!$P:$P,$A$65)/$C103,"")</f>
        <v/>
      </c>
      <c r="E126" s="24" t="str">
        <f>IFERROR(SUMIFS('3.simple_text_analysis'!H:H,'3.simple_text_analysis'!$M:$M,summary!$B126,'3.simple_text_analysis'!$P:$P,$A$65)/$C103,"")</f>
        <v/>
      </c>
      <c r="F126" s="23" t="str">
        <f>IFERROR(SUMIFS('3.simple_text_analysis'!I:I,'3.simple_text_analysis'!$M:$M,summary!$B126,'3.simple_text_analysis'!$P:$P,$A$65)/$C103,"")</f>
        <v/>
      </c>
    </row>
    <row r="127" spans="1:6" x14ac:dyDescent="0.25">
      <c r="B127" t="s">
        <v>653</v>
      </c>
      <c r="C127" s="24">
        <f>IFERROR(SUMIFS('3.simple_text_analysis'!F:F,'3.simple_text_analysis'!$M:$M,summary!$B127,'3.simple_text_analysis'!$P:$P,$A$65)/$C104,"")</f>
        <v>6.4000000000000001E-2</v>
      </c>
      <c r="D127" s="24">
        <f>IFERROR(SUMIFS('3.simple_text_analysis'!G:G,'3.simple_text_analysis'!$M:$M,summary!$B127,'3.simple_text_analysis'!$P:$P,$A$65)/$C104,"")</f>
        <v>0.79800000000000004</v>
      </c>
      <c r="E127" s="24">
        <f>IFERROR(SUMIFS('3.simple_text_analysis'!H:H,'3.simple_text_analysis'!$M:$M,summary!$B127,'3.simple_text_analysis'!$P:$P,$A$65)/$C104,"")</f>
        <v>0.13800000000000001</v>
      </c>
      <c r="F127" s="23">
        <f>IFERROR(SUMIFS('3.simple_text_analysis'!I:I,'3.simple_text_analysis'!$M:$M,summary!$B127,'3.simple_text_analysis'!$P:$P,$A$65)/$C104,"")</f>
        <v>1</v>
      </c>
    </row>
    <row r="128" spans="1:6" x14ac:dyDescent="0.25">
      <c r="A128" t="s">
        <v>632</v>
      </c>
      <c r="B128" t="s">
        <v>649</v>
      </c>
      <c r="C128" s="24">
        <f>IFERROR(SUMIFS('3.simple_text_analysis'!F:F,'3.simple_text_analysis'!$M:$M,summary!$B128,'3.simple_text_analysis'!$P:$P,$A$65)/$C105,"")</f>
        <v>6.5000000000000002E-2</v>
      </c>
      <c r="D128" s="24">
        <f>IFERROR(SUMIFS('3.simple_text_analysis'!G:G,'3.simple_text_analysis'!$M:$M,summary!$B128,'3.simple_text_analysis'!$P:$P,$A$65)/$C105,"")</f>
        <v>0.84499999999999997</v>
      </c>
      <c r="E128" s="24">
        <f>IFERROR(SUMIFS('3.simple_text_analysis'!H:H,'3.simple_text_analysis'!$M:$M,summary!$B128,'3.simple_text_analysis'!$P:$P,$A$65)/$C105,"")</f>
        <v>0.09</v>
      </c>
      <c r="F128" s="23">
        <f>IFERROR(SUMIFS('3.simple_text_analysis'!I:I,'3.simple_text_analysis'!$M:$M,summary!$B128,'3.simple_text_analysis'!$P:$P,$A$65)/$C105,"")</f>
        <v>0.99970000000000003</v>
      </c>
    </row>
    <row r="129" spans="1:6" x14ac:dyDescent="0.25">
      <c r="B129" t="s">
        <v>650</v>
      </c>
      <c r="C129" s="24" t="str">
        <f>IFERROR(SUMIFS('3.simple_text_analysis'!F:F,'3.simple_text_analysis'!$M:$M,summary!$B129,'3.simple_text_analysis'!$P:$P,$A$65)/$C106,"")</f>
        <v/>
      </c>
      <c r="D129" s="24" t="str">
        <f>IFERROR(SUMIFS('3.simple_text_analysis'!G:G,'3.simple_text_analysis'!$M:$M,summary!$B129,'3.simple_text_analysis'!$P:$P,$A$65)/$C106,"")</f>
        <v/>
      </c>
      <c r="E129" s="24" t="str">
        <f>IFERROR(SUMIFS('3.simple_text_analysis'!H:H,'3.simple_text_analysis'!$M:$M,summary!$B129,'3.simple_text_analysis'!$P:$P,$A$65)/$C106,"")</f>
        <v/>
      </c>
      <c r="F129" s="23" t="str">
        <f>IFERROR(SUMIFS('3.simple_text_analysis'!I:I,'3.simple_text_analysis'!$M:$M,summary!$B129,'3.simple_text_analysis'!$P:$P,$A$65)/$C106,"")</f>
        <v/>
      </c>
    </row>
    <row r="130" spans="1:6" x14ac:dyDescent="0.25">
      <c r="B130" t="s">
        <v>652</v>
      </c>
      <c r="C130" s="24" t="str">
        <f>IFERROR(SUMIFS('3.simple_text_analysis'!F:F,'3.simple_text_analysis'!$M:$M,summary!$B130,'3.simple_text_analysis'!$P:$P,$A$65)/$C107,"")</f>
        <v/>
      </c>
      <c r="D130" s="24" t="str">
        <f>IFERROR(SUMIFS('3.simple_text_analysis'!G:G,'3.simple_text_analysis'!$M:$M,summary!$B130,'3.simple_text_analysis'!$P:$P,$A$65)/$C107,"")</f>
        <v/>
      </c>
      <c r="E130" s="24" t="str">
        <f>IFERROR(SUMIFS('3.simple_text_analysis'!H:H,'3.simple_text_analysis'!$M:$M,summary!$B130,'3.simple_text_analysis'!$P:$P,$A$65)/$C107,"")</f>
        <v/>
      </c>
      <c r="F130" s="23" t="str">
        <f>IFERROR(SUMIFS('3.simple_text_analysis'!I:I,'3.simple_text_analysis'!$M:$M,summary!$B130,'3.simple_text_analysis'!$P:$P,$A$65)/$C107,"")</f>
        <v/>
      </c>
    </row>
    <row r="131" spans="1:6" x14ac:dyDescent="0.25">
      <c r="B131" s="7" t="s">
        <v>686</v>
      </c>
      <c r="C131" s="25">
        <f>IFERROR(SUMIFS('3.simple_text_analysis'!F:F,'3.simple_text_analysis'!$P:$P,$A$65)/$C108,"")</f>
        <v>6.8239999999999995E-2</v>
      </c>
      <c r="D131" s="25">
        <f>IFERROR(SUMIFS('3.simple_text_analysis'!G:G,'3.simple_text_analysis'!$P:$P,$A$65)/$C108,"")</f>
        <v>0.84723999999999977</v>
      </c>
      <c r="E131" s="25">
        <f>IFERROR(SUMIFS('3.simple_text_analysis'!H:H,'3.simple_text_analysis'!$P:$P,$A$65)/$C108,"")</f>
        <v>8.4600000000000009E-2</v>
      </c>
      <c r="F131" s="25">
        <f>IFERROR(SUMIFS('3.simple_text_analysis'!I:I,'3.simple_text_analysis'!$P:$P,$A$65)/$C108,"")</f>
        <v>0.35221599999999997</v>
      </c>
    </row>
    <row r="134" spans="1:6" s="12" customFormat="1" x14ac:dyDescent="0.25">
      <c r="F134" s="13"/>
    </row>
    <row r="137" spans="1:6" x14ac:dyDescent="0.25">
      <c r="A137" s="5" t="s">
        <v>693</v>
      </c>
    </row>
    <row r="138" spans="1:6" x14ac:dyDescent="0.25">
      <c r="A138">
        <v>1</v>
      </c>
      <c r="B138">
        <v>16</v>
      </c>
      <c r="C138">
        <v>1</v>
      </c>
      <c r="D138">
        <v>10</v>
      </c>
      <c r="E138">
        <v>2</v>
      </c>
      <c r="F138">
        <f>SUM(A138:E138)</f>
        <v>30</v>
      </c>
    </row>
    <row r="139" spans="1:6" x14ac:dyDescent="0.25">
      <c r="A139" s="28" t="s">
        <v>625</v>
      </c>
      <c r="B139" s="28" t="s">
        <v>694</v>
      </c>
      <c r="C139" s="28" t="s">
        <v>631</v>
      </c>
      <c r="D139" s="28" t="s">
        <v>629</v>
      </c>
      <c r="E139" s="28" t="s">
        <v>627</v>
      </c>
    </row>
    <row r="140" spans="1:6" x14ac:dyDescent="0.25">
      <c r="A140" s="27" t="s">
        <v>695</v>
      </c>
      <c r="B140" s="27" t="s">
        <v>715</v>
      </c>
      <c r="C140" s="27" t="s">
        <v>696</v>
      </c>
      <c r="D140" s="27" t="s">
        <v>697</v>
      </c>
      <c r="E140" s="27" t="s">
        <v>698</v>
      </c>
    </row>
    <row r="141" spans="1:6" x14ac:dyDescent="0.25">
      <c r="B141" s="27" t="s">
        <v>716</v>
      </c>
      <c r="D141" s="27" t="s">
        <v>699</v>
      </c>
      <c r="E141" s="27" t="s">
        <v>700</v>
      </c>
    </row>
    <row r="142" spans="1:6" x14ac:dyDescent="0.25">
      <c r="B142" s="27" t="s">
        <v>717</v>
      </c>
      <c r="D142" s="27" t="s">
        <v>701</v>
      </c>
    </row>
    <row r="143" spans="1:6" x14ac:dyDescent="0.25">
      <c r="B143" s="27" t="s">
        <v>718</v>
      </c>
      <c r="D143" s="27" t="s">
        <v>702</v>
      </c>
    </row>
    <row r="144" spans="1:6" x14ac:dyDescent="0.25">
      <c r="B144" s="27" t="s">
        <v>64</v>
      </c>
      <c r="D144" s="27" t="s">
        <v>703</v>
      </c>
    </row>
    <row r="145" spans="2:4" x14ac:dyDescent="0.25">
      <c r="B145" s="27" t="s">
        <v>719</v>
      </c>
      <c r="D145" s="27" t="s">
        <v>704</v>
      </c>
    </row>
    <row r="146" spans="2:4" x14ac:dyDescent="0.25">
      <c r="B146" s="27" t="s">
        <v>74</v>
      </c>
      <c r="D146" s="27" t="s">
        <v>705</v>
      </c>
    </row>
    <row r="147" spans="2:4" x14ac:dyDescent="0.25">
      <c r="B147" s="27" t="s">
        <v>82</v>
      </c>
      <c r="D147" s="27" t="s">
        <v>706</v>
      </c>
    </row>
    <row r="148" spans="2:4" x14ac:dyDescent="0.25">
      <c r="B148" s="27" t="s">
        <v>720</v>
      </c>
      <c r="D148" s="27" t="s">
        <v>707</v>
      </c>
    </row>
    <row r="149" spans="2:4" x14ac:dyDescent="0.25">
      <c r="B149" s="27" t="s">
        <v>708</v>
      </c>
      <c r="D149" s="27" t="s">
        <v>709</v>
      </c>
    </row>
    <row r="150" spans="2:4" x14ac:dyDescent="0.25">
      <c r="B150" s="27" t="s">
        <v>710</v>
      </c>
    </row>
    <row r="151" spans="2:4" x14ac:dyDescent="0.25">
      <c r="B151" s="27" t="s">
        <v>711</v>
      </c>
    </row>
    <row r="152" spans="2:4" x14ac:dyDescent="0.25">
      <c r="B152" s="27" t="s">
        <v>721</v>
      </c>
    </row>
    <row r="153" spans="2:4" x14ac:dyDescent="0.25">
      <c r="B153" s="27" t="s">
        <v>712</v>
      </c>
    </row>
    <row r="154" spans="2:4" x14ac:dyDescent="0.25">
      <c r="B154" s="27" t="s">
        <v>713</v>
      </c>
    </row>
    <row r="155" spans="2:4" x14ac:dyDescent="0.25">
      <c r="B155" s="27" t="s">
        <v>714</v>
      </c>
    </row>
    <row r="157" spans="2:4" x14ac:dyDescent="0.25">
      <c r="B157" s="28" t="s">
        <v>694</v>
      </c>
    </row>
    <row r="158" spans="2:4" x14ac:dyDescent="0.25">
      <c r="B158" t="s">
        <v>307</v>
      </c>
    </row>
    <row r="159" spans="2:4" x14ac:dyDescent="0.25">
      <c r="B159" t="s">
        <v>33</v>
      </c>
    </row>
    <row r="160" spans="2:4" x14ac:dyDescent="0.25">
      <c r="B160" t="s">
        <v>323</v>
      </c>
    </row>
    <row r="161" spans="2:2" x14ac:dyDescent="0.25">
      <c r="B161" s="15" t="s">
        <v>611</v>
      </c>
    </row>
    <row r="162" spans="2:2" x14ac:dyDescent="0.25">
      <c r="B162" t="s">
        <v>138</v>
      </c>
    </row>
  </sheetData>
  <autoFilter ref="A18:D37" xr:uid="{00000000-0001-0000-0000-000000000000}">
    <sortState xmlns:xlrd2="http://schemas.microsoft.com/office/spreadsheetml/2017/richdata2" ref="A19:D37">
      <sortCondition ref="A19:A37"/>
      <sortCondition ref="B19:B37"/>
    </sortState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55"/>
  <sheetViews>
    <sheetView workbookViewId="0">
      <selection sqref="A1:A1048576"/>
    </sheetView>
  </sheetViews>
  <sheetFormatPr defaultRowHeight="15" x14ac:dyDescent="0.25"/>
  <cols>
    <col min="2" max="2" width="38.140625" customWidth="1"/>
    <col min="3" max="3" width="70.140625" bestFit="1" customWidth="1"/>
    <col min="4" max="4" width="38.28515625" customWidth="1"/>
    <col min="8" max="8" width="18" bestFit="1" customWidth="1"/>
    <col min="9" max="9" width="10.42578125" bestFit="1" customWidth="1"/>
    <col min="10" max="10" width="11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</row>
    <row r="2" spans="1:10" ht="60" x14ac:dyDescent="0.25">
      <c r="A2">
        <v>0</v>
      </c>
      <c r="B2" t="s">
        <v>9</v>
      </c>
      <c r="C2" t="s">
        <v>10</v>
      </c>
      <c r="D2" s="1" t="s">
        <v>11</v>
      </c>
      <c r="E2" t="s">
        <v>12</v>
      </c>
      <c r="G2" t="s">
        <v>13</v>
      </c>
      <c r="H2" t="s">
        <v>14</v>
      </c>
      <c r="I2" t="s">
        <v>559</v>
      </c>
      <c r="J2" t="s">
        <v>559</v>
      </c>
    </row>
    <row r="3" spans="1:10" ht="60" hidden="1" x14ac:dyDescent="0.25">
      <c r="A3">
        <v>1</v>
      </c>
      <c r="B3" t="s">
        <v>15</v>
      </c>
      <c r="C3" t="s">
        <v>16</v>
      </c>
      <c r="D3" s="1" t="s">
        <v>17</v>
      </c>
      <c r="E3" t="s">
        <v>18</v>
      </c>
      <c r="G3" t="s">
        <v>19</v>
      </c>
      <c r="H3" t="s">
        <v>14</v>
      </c>
      <c r="I3" s="2">
        <v>45382</v>
      </c>
      <c r="J3" s="2">
        <v>45504</v>
      </c>
    </row>
    <row r="4" spans="1:10" ht="60" hidden="1" x14ac:dyDescent="0.25">
      <c r="A4">
        <v>2</v>
      </c>
      <c r="B4" t="s">
        <v>20</v>
      </c>
      <c r="C4" t="s">
        <v>21</v>
      </c>
      <c r="D4" s="1" t="s">
        <v>22</v>
      </c>
      <c r="E4" t="s">
        <v>23</v>
      </c>
      <c r="G4" t="s">
        <v>19</v>
      </c>
      <c r="H4" t="s">
        <v>14</v>
      </c>
      <c r="I4" s="2">
        <v>45291</v>
      </c>
      <c r="J4" s="2">
        <v>45412</v>
      </c>
    </row>
    <row r="5" spans="1:10" ht="60" x14ac:dyDescent="0.25">
      <c r="A5">
        <v>3</v>
      </c>
      <c r="B5" t="s">
        <v>24</v>
      </c>
      <c r="C5" t="s">
        <v>25</v>
      </c>
      <c r="D5" s="1" t="s">
        <v>11</v>
      </c>
      <c r="E5" t="s">
        <v>12</v>
      </c>
      <c r="G5" t="s">
        <v>13</v>
      </c>
      <c r="H5" t="s">
        <v>14</v>
      </c>
      <c r="I5" t="s">
        <v>559</v>
      </c>
      <c r="J5" t="s">
        <v>559</v>
      </c>
    </row>
    <row r="6" spans="1:10" ht="60" hidden="1" x14ac:dyDescent="0.25">
      <c r="A6">
        <v>4</v>
      </c>
      <c r="B6" t="s">
        <v>26</v>
      </c>
      <c r="C6" t="s">
        <v>27</v>
      </c>
      <c r="D6" s="1" t="s">
        <v>17</v>
      </c>
      <c r="E6" t="s">
        <v>18</v>
      </c>
      <c r="G6" t="s">
        <v>19</v>
      </c>
      <c r="H6" t="s">
        <v>14</v>
      </c>
      <c r="I6" s="2">
        <v>45382</v>
      </c>
      <c r="J6" s="2">
        <v>45504</v>
      </c>
    </row>
    <row r="7" spans="1:10" ht="60" hidden="1" x14ac:dyDescent="0.25">
      <c r="A7">
        <v>5</v>
      </c>
      <c r="B7" t="s">
        <v>28</v>
      </c>
      <c r="C7" t="s">
        <v>29</v>
      </c>
      <c r="D7" s="1" t="s">
        <v>17</v>
      </c>
      <c r="E7" t="s">
        <v>18</v>
      </c>
      <c r="G7" t="s">
        <v>19</v>
      </c>
      <c r="H7" t="s">
        <v>14</v>
      </c>
      <c r="I7" s="2">
        <v>45382</v>
      </c>
      <c r="J7" s="2">
        <v>45504</v>
      </c>
    </row>
    <row r="8" spans="1:10" ht="60" hidden="1" x14ac:dyDescent="0.25">
      <c r="A8">
        <v>6</v>
      </c>
      <c r="B8" t="s">
        <v>30</v>
      </c>
      <c r="C8" t="s">
        <v>31</v>
      </c>
      <c r="D8" s="1" t="s">
        <v>17</v>
      </c>
      <c r="E8" t="s">
        <v>18</v>
      </c>
      <c r="G8" t="s">
        <v>19</v>
      </c>
      <c r="H8" t="s">
        <v>14</v>
      </c>
      <c r="I8" s="2">
        <v>45382</v>
      </c>
      <c r="J8" s="2">
        <v>45504</v>
      </c>
    </row>
    <row r="9" spans="1:10" ht="60" x14ac:dyDescent="0.25">
      <c r="A9">
        <v>7</v>
      </c>
      <c r="B9" t="s">
        <v>32</v>
      </c>
      <c r="C9" t="s">
        <v>33</v>
      </c>
      <c r="D9" s="1" t="s">
        <v>11</v>
      </c>
      <c r="E9" t="s">
        <v>12</v>
      </c>
      <c r="G9" t="s">
        <v>13</v>
      </c>
      <c r="H9" t="s">
        <v>14</v>
      </c>
      <c r="I9" t="s">
        <v>559</v>
      </c>
      <c r="J9" t="s">
        <v>559</v>
      </c>
    </row>
    <row r="10" spans="1:10" ht="60" hidden="1" x14ac:dyDescent="0.25">
      <c r="A10">
        <v>8</v>
      </c>
      <c r="B10" t="s">
        <v>34</v>
      </c>
      <c r="C10" t="s">
        <v>35</v>
      </c>
      <c r="D10" s="1" t="s">
        <v>17</v>
      </c>
      <c r="E10" t="s">
        <v>18</v>
      </c>
      <c r="G10" t="s">
        <v>19</v>
      </c>
      <c r="H10" t="s">
        <v>14</v>
      </c>
      <c r="I10" s="2">
        <v>45382</v>
      </c>
      <c r="J10" s="2">
        <v>45504</v>
      </c>
    </row>
    <row r="11" spans="1:10" ht="60" x14ac:dyDescent="0.25">
      <c r="A11">
        <v>9</v>
      </c>
      <c r="B11" t="s">
        <v>36</v>
      </c>
      <c r="C11" t="s">
        <v>37</v>
      </c>
      <c r="D11" s="1" t="s">
        <v>11</v>
      </c>
      <c r="E11" t="s">
        <v>12</v>
      </c>
      <c r="G11" t="s">
        <v>13</v>
      </c>
      <c r="H11" t="s">
        <v>14</v>
      </c>
      <c r="I11" t="s">
        <v>559</v>
      </c>
      <c r="J11" t="s">
        <v>559</v>
      </c>
    </row>
    <row r="12" spans="1:10" ht="60" x14ac:dyDescent="0.25">
      <c r="A12">
        <v>10</v>
      </c>
      <c r="B12" t="s">
        <v>38</v>
      </c>
      <c r="C12" t="s">
        <v>39</v>
      </c>
      <c r="D12" s="1" t="s">
        <v>11</v>
      </c>
      <c r="E12" t="s">
        <v>12</v>
      </c>
      <c r="G12" t="s">
        <v>13</v>
      </c>
      <c r="H12" t="s">
        <v>14</v>
      </c>
      <c r="I12" t="s">
        <v>559</v>
      </c>
      <c r="J12" t="s">
        <v>559</v>
      </c>
    </row>
    <row r="13" spans="1:10" ht="60" x14ac:dyDescent="0.25">
      <c r="A13">
        <v>11</v>
      </c>
      <c r="B13" t="s">
        <v>40</v>
      </c>
      <c r="C13" t="s">
        <v>41</v>
      </c>
      <c r="D13" s="1" t="s">
        <v>11</v>
      </c>
      <c r="E13" t="s">
        <v>12</v>
      </c>
      <c r="G13" t="s">
        <v>13</v>
      </c>
      <c r="H13" t="s">
        <v>14</v>
      </c>
      <c r="I13" t="s">
        <v>559</v>
      </c>
      <c r="J13" t="s">
        <v>559</v>
      </c>
    </row>
    <row r="14" spans="1:10" ht="60" x14ac:dyDescent="0.25">
      <c r="A14">
        <v>12</v>
      </c>
      <c r="B14" t="s">
        <v>42</v>
      </c>
      <c r="C14" t="s">
        <v>43</v>
      </c>
      <c r="D14" s="1" t="s">
        <v>11</v>
      </c>
      <c r="E14" t="s">
        <v>12</v>
      </c>
      <c r="G14" t="s">
        <v>13</v>
      </c>
      <c r="H14" t="s">
        <v>14</v>
      </c>
      <c r="I14" t="s">
        <v>559</v>
      </c>
      <c r="J14" t="s">
        <v>559</v>
      </c>
    </row>
    <row r="15" spans="1:10" ht="60" hidden="1" x14ac:dyDescent="0.25">
      <c r="A15">
        <v>13</v>
      </c>
      <c r="B15" t="s">
        <v>44</v>
      </c>
      <c r="C15" t="s">
        <v>45</v>
      </c>
      <c r="D15" s="1" t="s">
        <v>22</v>
      </c>
      <c r="E15" t="s">
        <v>23</v>
      </c>
      <c r="G15" t="s">
        <v>19</v>
      </c>
      <c r="H15" t="s">
        <v>14</v>
      </c>
      <c r="I15" s="2">
        <v>45291</v>
      </c>
      <c r="J15" s="2">
        <v>45412</v>
      </c>
    </row>
    <row r="16" spans="1:10" ht="60" hidden="1" x14ac:dyDescent="0.25">
      <c r="A16">
        <v>14</v>
      </c>
      <c r="B16" t="s">
        <v>46</v>
      </c>
      <c r="C16" t="s">
        <v>47</v>
      </c>
      <c r="D16" s="1" t="s">
        <v>22</v>
      </c>
      <c r="E16" t="s">
        <v>23</v>
      </c>
      <c r="G16" t="s">
        <v>19</v>
      </c>
      <c r="H16" t="s">
        <v>14</v>
      </c>
      <c r="I16" s="2">
        <v>45291</v>
      </c>
      <c r="J16" s="2">
        <v>45412</v>
      </c>
    </row>
    <row r="17" spans="1:10" ht="60" x14ac:dyDescent="0.25">
      <c r="A17">
        <v>15</v>
      </c>
      <c r="B17" t="s">
        <v>48</v>
      </c>
      <c r="C17" t="s">
        <v>49</v>
      </c>
      <c r="D17" s="1" t="s">
        <v>11</v>
      </c>
      <c r="E17" t="s">
        <v>12</v>
      </c>
      <c r="G17" t="s">
        <v>13</v>
      </c>
      <c r="H17" t="s">
        <v>14</v>
      </c>
      <c r="I17" t="s">
        <v>559</v>
      </c>
      <c r="J17" t="s">
        <v>559</v>
      </c>
    </row>
    <row r="18" spans="1:10" ht="75" hidden="1" x14ac:dyDescent="0.25">
      <c r="A18">
        <v>16</v>
      </c>
      <c r="B18" t="s">
        <v>50</v>
      </c>
      <c r="C18" t="s">
        <v>51</v>
      </c>
      <c r="D18" s="1" t="s">
        <v>52</v>
      </c>
      <c r="E18" t="s">
        <v>53</v>
      </c>
      <c r="G18" t="s">
        <v>54</v>
      </c>
      <c r="H18" t="s">
        <v>14</v>
      </c>
      <c r="I18" t="s">
        <v>559</v>
      </c>
      <c r="J18" t="s">
        <v>559</v>
      </c>
    </row>
    <row r="19" spans="1:10" ht="75" hidden="1" x14ac:dyDescent="0.25">
      <c r="A19">
        <v>17</v>
      </c>
      <c r="B19" t="s">
        <v>55</v>
      </c>
      <c r="C19" t="s">
        <v>56</v>
      </c>
      <c r="D19" s="1" t="s">
        <v>57</v>
      </c>
      <c r="E19" t="s">
        <v>58</v>
      </c>
      <c r="G19" t="s">
        <v>54</v>
      </c>
      <c r="H19" t="s">
        <v>14</v>
      </c>
      <c r="I19" t="s">
        <v>559</v>
      </c>
      <c r="J19" t="s">
        <v>559</v>
      </c>
    </row>
    <row r="20" spans="1:10" ht="75" hidden="1" x14ac:dyDescent="0.25">
      <c r="A20">
        <v>18</v>
      </c>
      <c r="B20" t="s">
        <v>59</v>
      </c>
      <c r="C20" t="s">
        <v>60</v>
      </c>
      <c r="D20" s="1" t="s">
        <v>57</v>
      </c>
      <c r="E20" t="s">
        <v>58</v>
      </c>
      <c r="G20" t="s">
        <v>54</v>
      </c>
      <c r="H20" t="s">
        <v>14</v>
      </c>
      <c r="I20" t="s">
        <v>559</v>
      </c>
      <c r="J20" t="s">
        <v>559</v>
      </c>
    </row>
    <row r="21" spans="1:10" ht="60" hidden="1" x14ac:dyDescent="0.25">
      <c r="A21">
        <v>19</v>
      </c>
      <c r="B21" t="s">
        <v>61</v>
      </c>
      <c r="C21" t="s">
        <v>62</v>
      </c>
      <c r="D21" s="1" t="s">
        <v>22</v>
      </c>
      <c r="E21" t="s">
        <v>23</v>
      </c>
      <c r="G21" t="s">
        <v>19</v>
      </c>
      <c r="H21" t="s">
        <v>14</v>
      </c>
      <c r="I21" s="2">
        <v>45291</v>
      </c>
      <c r="J21" s="2">
        <v>45412</v>
      </c>
    </row>
    <row r="22" spans="1:10" ht="60" hidden="1" x14ac:dyDescent="0.25">
      <c r="A22">
        <v>20</v>
      </c>
      <c r="B22" t="s">
        <v>63</v>
      </c>
      <c r="C22" t="s">
        <v>64</v>
      </c>
      <c r="D22" s="1" t="s">
        <v>22</v>
      </c>
      <c r="E22" t="s">
        <v>23</v>
      </c>
      <c r="G22" t="s">
        <v>19</v>
      </c>
      <c r="H22" t="s">
        <v>14</v>
      </c>
      <c r="I22" s="2">
        <v>45291</v>
      </c>
      <c r="J22" s="2">
        <v>45412</v>
      </c>
    </row>
    <row r="23" spans="1:10" ht="60" x14ac:dyDescent="0.25">
      <c r="A23">
        <v>21</v>
      </c>
      <c r="B23" t="s">
        <v>65</v>
      </c>
      <c r="C23" t="s">
        <v>66</v>
      </c>
      <c r="D23" s="1" t="s">
        <v>11</v>
      </c>
      <c r="E23" t="s">
        <v>12</v>
      </c>
      <c r="G23" t="s">
        <v>13</v>
      </c>
      <c r="H23" t="s">
        <v>14</v>
      </c>
      <c r="I23" t="s">
        <v>559</v>
      </c>
      <c r="J23" t="s">
        <v>559</v>
      </c>
    </row>
    <row r="24" spans="1:10" ht="60" x14ac:dyDescent="0.25">
      <c r="A24">
        <v>22</v>
      </c>
      <c r="B24" t="s">
        <v>67</v>
      </c>
      <c r="C24" t="s">
        <v>68</v>
      </c>
      <c r="D24" s="1" t="s">
        <v>11</v>
      </c>
      <c r="E24" t="s">
        <v>12</v>
      </c>
      <c r="G24" t="s">
        <v>13</v>
      </c>
      <c r="H24" t="s">
        <v>14</v>
      </c>
      <c r="I24" t="s">
        <v>559</v>
      </c>
      <c r="J24" t="s">
        <v>559</v>
      </c>
    </row>
    <row r="25" spans="1:10" ht="60" x14ac:dyDescent="0.25">
      <c r="A25">
        <v>23</v>
      </c>
      <c r="B25" t="s">
        <v>69</v>
      </c>
      <c r="C25" t="s">
        <v>70</v>
      </c>
      <c r="D25" s="1" t="s">
        <v>11</v>
      </c>
      <c r="E25" t="s">
        <v>12</v>
      </c>
      <c r="G25" t="s">
        <v>13</v>
      </c>
      <c r="H25" t="s">
        <v>14</v>
      </c>
      <c r="I25" t="s">
        <v>559</v>
      </c>
      <c r="J25" t="s">
        <v>559</v>
      </c>
    </row>
    <row r="26" spans="1:10" ht="60" hidden="1" x14ac:dyDescent="0.25">
      <c r="A26">
        <v>24</v>
      </c>
      <c r="B26" t="s">
        <v>71</v>
      </c>
      <c r="C26" t="s">
        <v>72</v>
      </c>
      <c r="D26" s="1" t="s">
        <v>22</v>
      </c>
      <c r="E26" t="s">
        <v>23</v>
      </c>
      <c r="G26" t="s">
        <v>19</v>
      </c>
      <c r="H26" t="s">
        <v>14</v>
      </c>
      <c r="I26" s="2">
        <v>45291</v>
      </c>
      <c r="J26" s="2">
        <v>45412</v>
      </c>
    </row>
    <row r="27" spans="1:10" ht="60" hidden="1" x14ac:dyDescent="0.25">
      <c r="A27">
        <v>25</v>
      </c>
      <c r="B27" t="s">
        <v>73</v>
      </c>
      <c r="C27" t="s">
        <v>74</v>
      </c>
      <c r="D27" s="1" t="s">
        <v>22</v>
      </c>
      <c r="E27" t="s">
        <v>23</v>
      </c>
      <c r="G27" t="s">
        <v>19</v>
      </c>
      <c r="H27" t="s">
        <v>14</v>
      </c>
      <c r="I27" s="2">
        <v>45291</v>
      </c>
      <c r="J27" s="2">
        <v>45412</v>
      </c>
    </row>
    <row r="28" spans="1:10" ht="60" x14ac:dyDescent="0.25">
      <c r="A28">
        <v>26</v>
      </c>
      <c r="B28" t="s">
        <v>75</v>
      </c>
      <c r="C28" t="s">
        <v>76</v>
      </c>
      <c r="D28" s="1" t="s">
        <v>11</v>
      </c>
      <c r="E28" t="s">
        <v>12</v>
      </c>
      <c r="G28" t="s">
        <v>13</v>
      </c>
      <c r="H28" t="s">
        <v>14</v>
      </c>
      <c r="I28" t="s">
        <v>559</v>
      </c>
      <c r="J28" t="s">
        <v>559</v>
      </c>
    </row>
    <row r="29" spans="1:10" ht="60" x14ac:dyDescent="0.25">
      <c r="A29">
        <v>27</v>
      </c>
      <c r="B29" t="s">
        <v>77</v>
      </c>
      <c r="C29" t="s">
        <v>78</v>
      </c>
      <c r="D29" s="1" t="s">
        <v>11</v>
      </c>
      <c r="E29" t="s">
        <v>12</v>
      </c>
      <c r="G29" t="s">
        <v>13</v>
      </c>
      <c r="H29" t="s">
        <v>14</v>
      </c>
      <c r="I29" t="s">
        <v>559</v>
      </c>
      <c r="J29" t="s">
        <v>559</v>
      </c>
    </row>
    <row r="30" spans="1:10" ht="60" x14ac:dyDescent="0.25">
      <c r="A30">
        <v>28</v>
      </c>
      <c r="B30" t="s">
        <v>79</v>
      </c>
      <c r="C30" t="s">
        <v>80</v>
      </c>
      <c r="D30" s="1" t="s">
        <v>11</v>
      </c>
      <c r="E30" t="s">
        <v>12</v>
      </c>
      <c r="G30" t="s">
        <v>13</v>
      </c>
      <c r="H30" t="s">
        <v>14</v>
      </c>
      <c r="I30" t="s">
        <v>559</v>
      </c>
      <c r="J30" t="s">
        <v>559</v>
      </c>
    </row>
    <row r="31" spans="1:10" ht="60" hidden="1" x14ac:dyDescent="0.25">
      <c r="A31">
        <v>29</v>
      </c>
      <c r="B31" t="s">
        <v>81</v>
      </c>
      <c r="C31" t="s">
        <v>82</v>
      </c>
      <c r="D31" s="1" t="s">
        <v>22</v>
      </c>
      <c r="E31" t="s">
        <v>23</v>
      </c>
      <c r="G31" t="s">
        <v>19</v>
      </c>
      <c r="H31" t="s">
        <v>14</v>
      </c>
      <c r="I31" s="2">
        <v>45291</v>
      </c>
      <c r="J31" s="2">
        <v>45412</v>
      </c>
    </row>
    <row r="32" spans="1:10" ht="60" x14ac:dyDescent="0.25">
      <c r="A32">
        <v>30</v>
      </c>
      <c r="B32" t="s">
        <v>83</v>
      </c>
      <c r="C32" t="s">
        <v>84</v>
      </c>
      <c r="D32" s="1" t="s">
        <v>11</v>
      </c>
      <c r="E32" t="s">
        <v>12</v>
      </c>
      <c r="G32" t="s">
        <v>13</v>
      </c>
      <c r="H32" t="s">
        <v>14</v>
      </c>
      <c r="I32" t="s">
        <v>559</v>
      </c>
      <c r="J32" t="s">
        <v>559</v>
      </c>
    </row>
    <row r="33" spans="1:10" ht="60" x14ac:dyDescent="0.25">
      <c r="A33">
        <v>31</v>
      </c>
      <c r="B33" t="s">
        <v>85</v>
      </c>
      <c r="C33" t="s">
        <v>86</v>
      </c>
      <c r="D33" s="1" t="s">
        <v>11</v>
      </c>
      <c r="E33" t="s">
        <v>12</v>
      </c>
      <c r="G33" t="s">
        <v>13</v>
      </c>
      <c r="H33" t="s">
        <v>14</v>
      </c>
      <c r="I33" t="s">
        <v>559</v>
      </c>
      <c r="J33" t="s">
        <v>559</v>
      </c>
    </row>
    <row r="34" spans="1:10" ht="60" hidden="1" x14ac:dyDescent="0.25">
      <c r="A34">
        <v>32</v>
      </c>
      <c r="B34" t="s">
        <v>87</v>
      </c>
      <c r="C34" t="s">
        <v>88</v>
      </c>
      <c r="D34" s="1" t="s">
        <v>17</v>
      </c>
      <c r="E34" t="s">
        <v>18</v>
      </c>
      <c r="G34" t="s">
        <v>19</v>
      </c>
      <c r="H34" t="s">
        <v>14</v>
      </c>
      <c r="I34" s="2">
        <v>45382</v>
      </c>
      <c r="J34" s="2">
        <v>45504</v>
      </c>
    </row>
    <row r="35" spans="1:10" ht="60" hidden="1" x14ac:dyDescent="0.25">
      <c r="A35">
        <v>33</v>
      </c>
      <c r="B35" t="s">
        <v>89</v>
      </c>
      <c r="C35" t="s">
        <v>90</v>
      </c>
      <c r="D35" s="1" t="s">
        <v>22</v>
      </c>
      <c r="E35" t="s">
        <v>23</v>
      </c>
      <c r="G35" t="s">
        <v>19</v>
      </c>
      <c r="H35" t="s">
        <v>14</v>
      </c>
      <c r="I35" s="2">
        <v>45291</v>
      </c>
      <c r="J35" s="2">
        <v>45412</v>
      </c>
    </row>
    <row r="36" spans="1:10" ht="60" x14ac:dyDescent="0.25">
      <c r="A36">
        <v>34</v>
      </c>
      <c r="B36" t="s">
        <v>91</v>
      </c>
      <c r="C36" t="s">
        <v>92</v>
      </c>
      <c r="D36" s="1" t="s">
        <v>11</v>
      </c>
      <c r="E36" t="s">
        <v>12</v>
      </c>
      <c r="G36" t="s">
        <v>13</v>
      </c>
      <c r="H36" t="s">
        <v>14</v>
      </c>
      <c r="I36" t="s">
        <v>559</v>
      </c>
      <c r="J36" t="s">
        <v>559</v>
      </c>
    </row>
    <row r="37" spans="1:10" ht="60" hidden="1" x14ac:dyDescent="0.25">
      <c r="A37">
        <v>35</v>
      </c>
      <c r="B37" t="s">
        <v>93</v>
      </c>
      <c r="C37" t="s">
        <v>94</v>
      </c>
      <c r="D37" s="1" t="s">
        <v>17</v>
      </c>
      <c r="E37" t="s">
        <v>18</v>
      </c>
      <c r="G37" t="s">
        <v>19</v>
      </c>
      <c r="H37" t="s">
        <v>14</v>
      </c>
      <c r="I37" s="2">
        <v>45382</v>
      </c>
      <c r="J37" s="2">
        <v>45504</v>
      </c>
    </row>
    <row r="38" spans="1:10" ht="60" x14ac:dyDescent="0.25">
      <c r="A38">
        <v>36</v>
      </c>
      <c r="B38" t="s">
        <v>95</v>
      </c>
      <c r="C38" t="s">
        <v>96</v>
      </c>
      <c r="D38" s="1" t="s">
        <v>11</v>
      </c>
      <c r="E38" t="s">
        <v>12</v>
      </c>
      <c r="G38" t="s">
        <v>13</v>
      </c>
      <c r="H38" t="s">
        <v>14</v>
      </c>
      <c r="I38" t="s">
        <v>559</v>
      </c>
      <c r="J38" t="s">
        <v>559</v>
      </c>
    </row>
    <row r="39" spans="1:10" ht="60" x14ac:dyDescent="0.25">
      <c r="A39">
        <v>37</v>
      </c>
      <c r="B39" t="s">
        <v>97</v>
      </c>
      <c r="C39" t="s">
        <v>98</v>
      </c>
      <c r="D39" s="1" t="s">
        <v>11</v>
      </c>
      <c r="E39" t="s">
        <v>12</v>
      </c>
      <c r="G39" t="s">
        <v>13</v>
      </c>
      <c r="H39" t="s">
        <v>14</v>
      </c>
      <c r="I39" t="s">
        <v>559</v>
      </c>
      <c r="J39" t="s">
        <v>559</v>
      </c>
    </row>
    <row r="40" spans="1:10" ht="60" hidden="1" x14ac:dyDescent="0.25">
      <c r="A40">
        <v>38</v>
      </c>
      <c r="B40" t="s">
        <v>99</v>
      </c>
      <c r="C40" t="s">
        <v>100</v>
      </c>
      <c r="D40" s="1" t="s">
        <v>17</v>
      </c>
      <c r="E40" t="s">
        <v>18</v>
      </c>
      <c r="G40" t="s">
        <v>19</v>
      </c>
      <c r="H40" t="s">
        <v>14</v>
      </c>
      <c r="I40" s="2">
        <v>45382</v>
      </c>
      <c r="J40" s="2">
        <v>45504</v>
      </c>
    </row>
    <row r="41" spans="1:10" ht="60" x14ac:dyDescent="0.25">
      <c r="A41">
        <v>39</v>
      </c>
      <c r="B41" t="s">
        <v>101</v>
      </c>
      <c r="C41" t="s">
        <v>102</v>
      </c>
      <c r="D41" s="1" t="s">
        <v>11</v>
      </c>
      <c r="E41" t="s">
        <v>12</v>
      </c>
      <c r="G41" t="s">
        <v>13</v>
      </c>
      <c r="H41" t="s">
        <v>14</v>
      </c>
      <c r="I41" t="s">
        <v>559</v>
      </c>
      <c r="J41" t="s">
        <v>559</v>
      </c>
    </row>
    <row r="42" spans="1:10" ht="60" x14ac:dyDescent="0.25">
      <c r="A42">
        <v>40</v>
      </c>
      <c r="B42" t="s">
        <v>103</v>
      </c>
      <c r="C42" t="s">
        <v>104</v>
      </c>
      <c r="D42" s="1" t="s">
        <v>11</v>
      </c>
      <c r="E42" t="s">
        <v>12</v>
      </c>
      <c r="G42" t="s">
        <v>13</v>
      </c>
      <c r="H42" t="s">
        <v>14</v>
      </c>
      <c r="I42" t="s">
        <v>559</v>
      </c>
      <c r="J42" t="s">
        <v>559</v>
      </c>
    </row>
    <row r="43" spans="1:10" ht="60" x14ac:dyDescent="0.25">
      <c r="A43">
        <v>41</v>
      </c>
      <c r="B43" t="s">
        <v>105</v>
      </c>
      <c r="C43" t="s">
        <v>106</v>
      </c>
      <c r="D43" s="1" t="s">
        <v>11</v>
      </c>
      <c r="E43" t="s">
        <v>12</v>
      </c>
      <c r="G43" t="s">
        <v>13</v>
      </c>
      <c r="H43" t="s">
        <v>14</v>
      </c>
      <c r="I43" t="s">
        <v>559</v>
      </c>
      <c r="J43" t="s">
        <v>559</v>
      </c>
    </row>
    <row r="44" spans="1:10" ht="60" hidden="1" x14ac:dyDescent="0.25">
      <c r="A44">
        <v>42</v>
      </c>
      <c r="B44" t="s">
        <v>107</v>
      </c>
      <c r="C44" t="s">
        <v>108</v>
      </c>
      <c r="D44" s="1" t="s">
        <v>17</v>
      </c>
      <c r="E44" t="s">
        <v>18</v>
      </c>
      <c r="G44" t="s">
        <v>19</v>
      </c>
      <c r="H44" t="s">
        <v>14</v>
      </c>
      <c r="I44" s="2">
        <v>45382</v>
      </c>
      <c r="J44" s="2">
        <v>45504</v>
      </c>
    </row>
    <row r="45" spans="1:10" ht="60" hidden="1" x14ac:dyDescent="0.25">
      <c r="A45">
        <v>43</v>
      </c>
      <c r="B45" t="s">
        <v>109</v>
      </c>
      <c r="C45" t="s">
        <v>110</v>
      </c>
      <c r="D45" s="1" t="s">
        <v>17</v>
      </c>
      <c r="E45" t="s">
        <v>18</v>
      </c>
      <c r="G45" t="s">
        <v>19</v>
      </c>
      <c r="H45" t="s">
        <v>14</v>
      </c>
      <c r="I45" s="2">
        <v>45382</v>
      </c>
      <c r="J45" s="2">
        <v>45504</v>
      </c>
    </row>
    <row r="46" spans="1:10" ht="60" x14ac:dyDescent="0.25">
      <c r="A46">
        <v>44</v>
      </c>
      <c r="B46" t="s">
        <v>111</v>
      </c>
      <c r="C46" t="s">
        <v>112</v>
      </c>
      <c r="D46" s="1" t="s">
        <v>11</v>
      </c>
      <c r="E46" t="s">
        <v>12</v>
      </c>
      <c r="G46" t="s">
        <v>13</v>
      </c>
      <c r="H46" t="s">
        <v>14</v>
      </c>
      <c r="I46" t="s">
        <v>559</v>
      </c>
      <c r="J46" t="s">
        <v>559</v>
      </c>
    </row>
    <row r="47" spans="1:10" ht="60" x14ac:dyDescent="0.25">
      <c r="A47">
        <v>45</v>
      </c>
      <c r="B47" t="s">
        <v>113</v>
      </c>
      <c r="C47" t="s">
        <v>114</v>
      </c>
      <c r="D47" s="1" t="s">
        <v>11</v>
      </c>
      <c r="E47" t="s">
        <v>12</v>
      </c>
      <c r="G47" t="s">
        <v>13</v>
      </c>
      <c r="H47" t="s">
        <v>14</v>
      </c>
      <c r="I47" t="s">
        <v>559</v>
      </c>
      <c r="J47" t="s">
        <v>559</v>
      </c>
    </row>
    <row r="48" spans="1:10" ht="60" x14ac:dyDescent="0.25">
      <c r="A48">
        <v>46</v>
      </c>
      <c r="B48" t="s">
        <v>115</v>
      </c>
      <c r="C48" t="s">
        <v>116</v>
      </c>
      <c r="D48" s="1" t="s">
        <v>11</v>
      </c>
      <c r="E48" t="s">
        <v>12</v>
      </c>
      <c r="G48" t="s">
        <v>13</v>
      </c>
      <c r="H48" t="s">
        <v>14</v>
      </c>
      <c r="I48" t="s">
        <v>559</v>
      </c>
      <c r="J48" t="s">
        <v>559</v>
      </c>
    </row>
    <row r="49" spans="1:10" ht="60" x14ac:dyDescent="0.25">
      <c r="A49">
        <v>47</v>
      </c>
      <c r="B49" t="s">
        <v>117</v>
      </c>
      <c r="C49" t="s">
        <v>118</v>
      </c>
      <c r="D49" s="1" t="s">
        <v>11</v>
      </c>
      <c r="E49" t="s">
        <v>12</v>
      </c>
      <c r="G49" t="s">
        <v>13</v>
      </c>
      <c r="H49" t="s">
        <v>14</v>
      </c>
      <c r="I49" t="s">
        <v>559</v>
      </c>
      <c r="J49" t="s">
        <v>559</v>
      </c>
    </row>
    <row r="50" spans="1:10" ht="60" hidden="1" x14ac:dyDescent="0.25">
      <c r="A50">
        <v>48</v>
      </c>
      <c r="B50" t="s">
        <v>119</v>
      </c>
      <c r="C50" t="s">
        <v>120</v>
      </c>
      <c r="D50" s="1" t="s">
        <v>17</v>
      </c>
      <c r="E50" t="s">
        <v>18</v>
      </c>
      <c r="G50" t="s">
        <v>19</v>
      </c>
      <c r="H50" t="s">
        <v>14</v>
      </c>
      <c r="I50" s="2">
        <v>45382</v>
      </c>
      <c r="J50" s="2">
        <v>45504</v>
      </c>
    </row>
    <row r="51" spans="1:10" ht="60" hidden="1" x14ac:dyDescent="0.25">
      <c r="A51">
        <v>49</v>
      </c>
      <c r="B51" t="s">
        <v>121</v>
      </c>
      <c r="C51" t="s">
        <v>122</v>
      </c>
      <c r="D51" s="1" t="s">
        <v>22</v>
      </c>
      <c r="E51" t="s">
        <v>23</v>
      </c>
      <c r="G51" t="s">
        <v>19</v>
      </c>
      <c r="H51" t="s">
        <v>14</v>
      </c>
      <c r="I51" s="2">
        <v>45291</v>
      </c>
      <c r="J51" s="2">
        <v>45412</v>
      </c>
    </row>
    <row r="52" spans="1:10" ht="60" hidden="1" x14ac:dyDescent="0.25">
      <c r="A52">
        <v>50</v>
      </c>
      <c r="B52" t="s">
        <v>123</v>
      </c>
      <c r="C52" t="s">
        <v>124</v>
      </c>
      <c r="D52" s="1" t="s">
        <v>22</v>
      </c>
      <c r="E52" t="s">
        <v>23</v>
      </c>
      <c r="G52" t="s">
        <v>19</v>
      </c>
      <c r="H52" t="s">
        <v>14</v>
      </c>
      <c r="I52" s="2">
        <v>45291</v>
      </c>
      <c r="J52" s="2">
        <v>45412</v>
      </c>
    </row>
    <row r="53" spans="1:10" ht="60" hidden="1" x14ac:dyDescent="0.25">
      <c r="A53">
        <v>51</v>
      </c>
      <c r="B53" t="s">
        <v>125</v>
      </c>
      <c r="C53" t="s">
        <v>126</v>
      </c>
      <c r="D53" s="1" t="s">
        <v>17</v>
      </c>
      <c r="E53" t="s">
        <v>18</v>
      </c>
      <c r="G53" t="s">
        <v>19</v>
      </c>
      <c r="H53" t="s">
        <v>14</v>
      </c>
      <c r="I53" s="2">
        <v>45382</v>
      </c>
      <c r="J53" s="2">
        <v>45504</v>
      </c>
    </row>
    <row r="54" spans="1:10" ht="60" x14ac:dyDescent="0.25">
      <c r="A54">
        <v>52</v>
      </c>
      <c r="B54" t="s">
        <v>127</v>
      </c>
      <c r="C54" t="s">
        <v>128</v>
      </c>
      <c r="D54" s="1" t="s">
        <v>11</v>
      </c>
      <c r="E54" t="s">
        <v>12</v>
      </c>
      <c r="G54" t="s">
        <v>13</v>
      </c>
      <c r="H54" t="s">
        <v>14</v>
      </c>
      <c r="I54" t="s">
        <v>559</v>
      </c>
      <c r="J54" t="s">
        <v>559</v>
      </c>
    </row>
    <row r="55" spans="1:10" ht="60" hidden="1" x14ac:dyDescent="0.25">
      <c r="A55">
        <v>53</v>
      </c>
      <c r="B55" t="s">
        <v>129</v>
      </c>
      <c r="C55" t="s">
        <v>130</v>
      </c>
      <c r="D55" s="1" t="s">
        <v>17</v>
      </c>
      <c r="E55" t="s">
        <v>18</v>
      </c>
      <c r="G55" t="s">
        <v>19</v>
      </c>
      <c r="H55" t="s">
        <v>14</v>
      </c>
      <c r="I55" s="2">
        <v>45382</v>
      </c>
      <c r="J55" s="2">
        <v>45504</v>
      </c>
    </row>
    <row r="56" spans="1:10" ht="60" hidden="1" x14ac:dyDescent="0.25">
      <c r="A56">
        <v>54</v>
      </c>
      <c r="B56" t="s">
        <v>131</v>
      </c>
      <c r="C56" t="s">
        <v>132</v>
      </c>
      <c r="D56" s="1" t="s">
        <v>22</v>
      </c>
      <c r="E56" t="s">
        <v>23</v>
      </c>
      <c r="G56" t="s">
        <v>19</v>
      </c>
      <c r="H56" t="s">
        <v>14</v>
      </c>
      <c r="I56" s="2">
        <v>45291</v>
      </c>
      <c r="J56" s="2">
        <v>45412</v>
      </c>
    </row>
    <row r="57" spans="1:10" ht="60" hidden="1" x14ac:dyDescent="0.25">
      <c r="A57">
        <v>55</v>
      </c>
      <c r="B57" t="s">
        <v>133</v>
      </c>
      <c r="C57" t="s">
        <v>134</v>
      </c>
      <c r="D57" s="1" t="s">
        <v>17</v>
      </c>
      <c r="E57" t="s">
        <v>18</v>
      </c>
      <c r="G57" t="s">
        <v>19</v>
      </c>
      <c r="H57" t="s">
        <v>14</v>
      </c>
      <c r="I57" s="2">
        <v>45382</v>
      </c>
      <c r="J57" s="2">
        <v>45504</v>
      </c>
    </row>
    <row r="58" spans="1:10" ht="60" hidden="1" x14ac:dyDescent="0.25">
      <c r="A58">
        <v>56</v>
      </c>
      <c r="B58" t="s">
        <v>135</v>
      </c>
      <c r="C58" t="s">
        <v>136</v>
      </c>
      <c r="D58" s="1" t="s">
        <v>17</v>
      </c>
      <c r="E58" t="s">
        <v>18</v>
      </c>
      <c r="G58" t="s">
        <v>19</v>
      </c>
      <c r="H58" t="s">
        <v>14</v>
      </c>
      <c r="I58" s="2">
        <v>45382</v>
      </c>
      <c r="J58" s="2">
        <v>45504</v>
      </c>
    </row>
    <row r="59" spans="1:10" ht="60" x14ac:dyDescent="0.25">
      <c r="A59">
        <v>57</v>
      </c>
      <c r="B59" t="s">
        <v>137</v>
      </c>
      <c r="C59" t="s">
        <v>138</v>
      </c>
      <c r="D59" s="1" t="s">
        <v>11</v>
      </c>
      <c r="E59" t="s">
        <v>12</v>
      </c>
      <c r="G59" t="s">
        <v>13</v>
      </c>
      <c r="H59" t="s">
        <v>14</v>
      </c>
      <c r="I59" t="s">
        <v>559</v>
      </c>
      <c r="J59" t="s">
        <v>559</v>
      </c>
    </row>
    <row r="60" spans="1:10" ht="60" x14ac:dyDescent="0.25">
      <c r="A60">
        <v>58</v>
      </c>
      <c r="B60" t="s">
        <v>139</v>
      </c>
      <c r="C60" t="s">
        <v>140</v>
      </c>
      <c r="D60" s="1" t="s">
        <v>11</v>
      </c>
      <c r="E60" t="s">
        <v>12</v>
      </c>
      <c r="G60" t="s">
        <v>13</v>
      </c>
      <c r="H60" t="s">
        <v>14</v>
      </c>
      <c r="I60" t="s">
        <v>559</v>
      </c>
      <c r="J60" t="s">
        <v>559</v>
      </c>
    </row>
    <row r="61" spans="1:10" ht="60" hidden="1" x14ac:dyDescent="0.25">
      <c r="A61">
        <v>59</v>
      </c>
      <c r="B61" t="s">
        <v>141</v>
      </c>
      <c r="C61" t="s">
        <v>142</v>
      </c>
      <c r="D61" s="1" t="s">
        <v>17</v>
      </c>
      <c r="E61" t="s">
        <v>18</v>
      </c>
      <c r="G61" t="s">
        <v>19</v>
      </c>
      <c r="H61" t="s">
        <v>14</v>
      </c>
      <c r="I61" s="2">
        <v>45382</v>
      </c>
      <c r="J61" s="2">
        <v>45504</v>
      </c>
    </row>
    <row r="62" spans="1:10" ht="60" hidden="1" x14ac:dyDescent="0.25">
      <c r="A62">
        <v>60</v>
      </c>
      <c r="B62" t="s">
        <v>143</v>
      </c>
      <c r="C62" t="s">
        <v>144</v>
      </c>
      <c r="D62" s="1" t="s">
        <v>17</v>
      </c>
      <c r="E62" t="s">
        <v>18</v>
      </c>
      <c r="G62" t="s">
        <v>19</v>
      </c>
      <c r="H62" t="s">
        <v>14</v>
      </c>
      <c r="I62" s="2">
        <v>45382</v>
      </c>
      <c r="J62" s="2">
        <v>45504</v>
      </c>
    </row>
    <row r="63" spans="1:10" ht="60" x14ac:dyDescent="0.25">
      <c r="A63">
        <v>61</v>
      </c>
      <c r="B63" t="s">
        <v>145</v>
      </c>
      <c r="C63" t="s">
        <v>146</v>
      </c>
      <c r="D63" s="1" t="s">
        <v>11</v>
      </c>
      <c r="E63" t="s">
        <v>12</v>
      </c>
      <c r="G63" t="s">
        <v>13</v>
      </c>
      <c r="H63" t="s">
        <v>14</v>
      </c>
      <c r="I63" t="s">
        <v>559</v>
      </c>
      <c r="J63" t="s">
        <v>559</v>
      </c>
    </row>
    <row r="64" spans="1:10" ht="60" x14ac:dyDescent="0.25">
      <c r="A64">
        <v>62</v>
      </c>
      <c r="B64" t="s">
        <v>147</v>
      </c>
      <c r="C64" t="s">
        <v>148</v>
      </c>
      <c r="D64" s="1" t="s">
        <v>11</v>
      </c>
      <c r="E64" t="s">
        <v>12</v>
      </c>
      <c r="G64" t="s">
        <v>13</v>
      </c>
      <c r="H64" t="s">
        <v>14</v>
      </c>
      <c r="I64" t="s">
        <v>559</v>
      </c>
      <c r="J64" t="s">
        <v>559</v>
      </c>
    </row>
    <row r="65" spans="1:10" ht="60" x14ac:dyDescent="0.25">
      <c r="A65">
        <v>63</v>
      </c>
      <c r="B65" t="s">
        <v>149</v>
      </c>
      <c r="C65" t="s">
        <v>150</v>
      </c>
      <c r="D65" s="1" t="s">
        <v>11</v>
      </c>
      <c r="E65" t="s">
        <v>12</v>
      </c>
      <c r="G65" t="s">
        <v>13</v>
      </c>
      <c r="H65" t="s">
        <v>14</v>
      </c>
      <c r="I65" t="s">
        <v>559</v>
      </c>
      <c r="J65" t="s">
        <v>559</v>
      </c>
    </row>
    <row r="66" spans="1:10" ht="60" x14ac:dyDescent="0.25">
      <c r="A66">
        <v>64</v>
      </c>
      <c r="B66" t="s">
        <v>151</v>
      </c>
      <c r="C66" t="s">
        <v>152</v>
      </c>
      <c r="D66" s="1" t="s">
        <v>11</v>
      </c>
      <c r="E66" t="s">
        <v>12</v>
      </c>
      <c r="G66" t="s">
        <v>13</v>
      </c>
      <c r="H66" t="s">
        <v>14</v>
      </c>
      <c r="I66" t="s">
        <v>559</v>
      </c>
      <c r="J66" t="s">
        <v>559</v>
      </c>
    </row>
    <row r="67" spans="1:10" ht="60" x14ac:dyDescent="0.25">
      <c r="A67">
        <v>65</v>
      </c>
      <c r="B67" t="s">
        <v>153</v>
      </c>
      <c r="C67" t="s">
        <v>154</v>
      </c>
      <c r="D67" s="1" t="s">
        <v>11</v>
      </c>
      <c r="E67" t="s">
        <v>12</v>
      </c>
      <c r="G67" t="s">
        <v>13</v>
      </c>
      <c r="H67" t="s">
        <v>14</v>
      </c>
      <c r="I67" t="s">
        <v>559</v>
      </c>
      <c r="J67" t="s">
        <v>559</v>
      </c>
    </row>
    <row r="68" spans="1:10" ht="60" x14ac:dyDescent="0.25">
      <c r="A68">
        <v>66</v>
      </c>
      <c r="B68" t="s">
        <v>155</v>
      </c>
      <c r="C68" t="s">
        <v>156</v>
      </c>
      <c r="D68" s="1" t="s">
        <v>11</v>
      </c>
      <c r="E68" t="s">
        <v>12</v>
      </c>
      <c r="G68" t="s">
        <v>13</v>
      </c>
      <c r="H68" t="s">
        <v>14</v>
      </c>
      <c r="I68" t="s">
        <v>559</v>
      </c>
      <c r="J68" t="s">
        <v>559</v>
      </c>
    </row>
    <row r="69" spans="1:10" ht="75" hidden="1" x14ac:dyDescent="0.25">
      <c r="A69">
        <v>67</v>
      </c>
      <c r="B69" t="s">
        <v>157</v>
      </c>
      <c r="C69" t="s">
        <v>158</v>
      </c>
      <c r="D69" s="1" t="s">
        <v>57</v>
      </c>
      <c r="E69" t="s">
        <v>58</v>
      </c>
      <c r="G69" t="s">
        <v>54</v>
      </c>
      <c r="H69" t="s">
        <v>14</v>
      </c>
      <c r="I69" t="s">
        <v>559</v>
      </c>
      <c r="J69" t="s">
        <v>559</v>
      </c>
    </row>
    <row r="70" spans="1:10" ht="60" x14ac:dyDescent="0.25">
      <c r="A70">
        <v>68</v>
      </c>
      <c r="B70" t="s">
        <v>159</v>
      </c>
      <c r="C70" t="s">
        <v>160</v>
      </c>
      <c r="D70" s="1" t="s">
        <v>11</v>
      </c>
      <c r="E70" t="s">
        <v>12</v>
      </c>
      <c r="G70" t="s">
        <v>13</v>
      </c>
      <c r="H70" t="s">
        <v>14</v>
      </c>
      <c r="I70" t="s">
        <v>559</v>
      </c>
      <c r="J70" t="s">
        <v>559</v>
      </c>
    </row>
    <row r="71" spans="1:10" ht="60" hidden="1" x14ac:dyDescent="0.25">
      <c r="A71">
        <v>69</v>
      </c>
      <c r="B71" t="s">
        <v>161</v>
      </c>
      <c r="C71" t="s">
        <v>162</v>
      </c>
      <c r="D71" s="1" t="s">
        <v>17</v>
      </c>
      <c r="E71" t="s">
        <v>18</v>
      </c>
      <c r="G71" t="s">
        <v>19</v>
      </c>
      <c r="H71" t="s">
        <v>14</v>
      </c>
      <c r="I71" s="2">
        <v>45382</v>
      </c>
      <c r="J71" s="2">
        <v>45504</v>
      </c>
    </row>
    <row r="72" spans="1:10" ht="60" hidden="1" x14ac:dyDescent="0.25">
      <c r="A72">
        <v>70</v>
      </c>
      <c r="B72" t="s">
        <v>163</v>
      </c>
      <c r="C72" t="s">
        <v>164</v>
      </c>
      <c r="D72" s="1" t="s">
        <v>17</v>
      </c>
      <c r="E72" t="s">
        <v>18</v>
      </c>
      <c r="G72" t="s">
        <v>19</v>
      </c>
      <c r="H72" t="s">
        <v>14</v>
      </c>
      <c r="I72" s="2">
        <v>45382</v>
      </c>
      <c r="J72" s="2">
        <v>45504</v>
      </c>
    </row>
    <row r="73" spans="1:10" ht="60" hidden="1" x14ac:dyDescent="0.25">
      <c r="A73">
        <v>71</v>
      </c>
      <c r="B73" t="s">
        <v>165</v>
      </c>
      <c r="C73" t="s">
        <v>166</v>
      </c>
      <c r="D73" s="1" t="s">
        <v>167</v>
      </c>
      <c r="E73" t="s">
        <v>168</v>
      </c>
      <c r="G73" t="s">
        <v>19</v>
      </c>
      <c r="H73" t="s">
        <v>14</v>
      </c>
      <c r="I73" s="2">
        <v>45322</v>
      </c>
      <c r="J73" s="2">
        <v>45443</v>
      </c>
    </row>
    <row r="74" spans="1:10" ht="60" x14ac:dyDescent="0.25">
      <c r="A74">
        <v>72</v>
      </c>
      <c r="B74" t="s">
        <v>169</v>
      </c>
      <c r="C74" t="s">
        <v>170</v>
      </c>
      <c r="D74" s="1" t="s">
        <v>11</v>
      </c>
      <c r="E74" t="s">
        <v>12</v>
      </c>
      <c r="G74" t="s">
        <v>13</v>
      </c>
      <c r="H74" t="s">
        <v>14</v>
      </c>
      <c r="I74" t="s">
        <v>559</v>
      </c>
      <c r="J74" t="s">
        <v>559</v>
      </c>
    </row>
    <row r="75" spans="1:10" ht="60" x14ac:dyDescent="0.25">
      <c r="A75">
        <v>73</v>
      </c>
      <c r="B75" t="s">
        <v>171</v>
      </c>
      <c r="C75" t="s">
        <v>172</v>
      </c>
      <c r="D75" s="1" t="s">
        <v>11</v>
      </c>
      <c r="E75" t="s">
        <v>12</v>
      </c>
      <c r="G75" t="s">
        <v>13</v>
      </c>
      <c r="H75" t="s">
        <v>14</v>
      </c>
      <c r="I75" t="s">
        <v>559</v>
      </c>
      <c r="J75" t="s">
        <v>559</v>
      </c>
    </row>
    <row r="76" spans="1:10" ht="60" hidden="1" x14ac:dyDescent="0.25">
      <c r="A76">
        <v>74</v>
      </c>
      <c r="B76" t="s">
        <v>173</v>
      </c>
      <c r="C76" t="s">
        <v>174</v>
      </c>
      <c r="D76" s="1" t="s">
        <v>22</v>
      </c>
      <c r="E76" t="s">
        <v>23</v>
      </c>
      <c r="G76" t="s">
        <v>19</v>
      </c>
      <c r="H76" t="s">
        <v>14</v>
      </c>
      <c r="I76" s="2">
        <v>45291</v>
      </c>
      <c r="J76" s="2">
        <v>45412</v>
      </c>
    </row>
    <row r="77" spans="1:10" ht="60" x14ac:dyDescent="0.25">
      <c r="A77">
        <v>75</v>
      </c>
      <c r="B77" t="s">
        <v>175</v>
      </c>
      <c r="C77" t="s">
        <v>176</v>
      </c>
      <c r="D77" s="1" t="s">
        <v>11</v>
      </c>
      <c r="E77" t="s">
        <v>12</v>
      </c>
      <c r="G77" t="s">
        <v>13</v>
      </c>
      <c r="H77" t="s">
        <v>14</v>
      </c>
      <c r="I77" t="s">
        <v>559</v>
      </c>
      <c r="J77" t="s">
        <v>559</v>
      </c>
    </row>
    <row r="78" spans="1:10" ht="75" hidden="1" x14ac:dyDescent="0.25">
      <c r="A78">
        <v>76</v>
      </c>
      <c r="B78" t="s">
        <v>177</v>
      </c>
      <c r="C78" t="s">
        <v>178</v>
      </c>
      <c r="D78" s="1" t="s">
        <v>57</v>
      </c>
      <c r="E78" t="s">
        <v>58</v>
      </c>
      <c r="G78" t="s">
        <v>54</v>
      </c>
      <c r="H78" t="s">
        <v>14</v>
      </c>
      <c r="I78" t="s">
        <v>559</v>
      </c>
      <c r="J78" t="s">
        <v>559</v>
      </c>
    </row>
    <row r="79" spans="1:10" ht="75" hidden="1" x14ac:dyDescent="0.25">
      <c r="A79">
        <v>77</v>
      </c>
      <c r="B79" t="s">
        <v>179</v>
      </c>
      <c r="C79" t="s">
        <v>180</v>
      </c>
      <c r="D79" s="1" t="s">
        <v>57</v>
      </c>
      <c r="E79" t="s">
        <v>58</v>
      </c>
      <c r="G79" t="s">
        <v>54</v>
      </c>
      <c r="H79" t="s">
        <v>14</v>
      </c>
      <c r="I79" t="s">
        <v>559</v>
      </c>
      <c r="J79" t="s">
        <v>559</v>
      </c>
    </row>
    <row r="80" spans="1:10" ht="60" hidden="1" x14ac:dyDescent="0.25">
      <c r="A80">
        <v>78</v>
      </c>
      <c r="B80" t="s">
        <v>181</v>
      </c>
      <c r="C80" t="s">
        <v>182</v>
      </c>
      <c r="D80" s="1" t="s">
        <v>17</v>
      </c>
      <c r="E80" t="s">
        <v>18</v>
      </c>
      <c r="G80" t="s">
        <v>19</v>
      </c>
      <c r="H80" t="s">
        <v>14</v>
      </c>
      <c r="I80" s="2">
        <v>45382</v>
      </c>
      <c r="J80" s="2">
        <v>45504</v>
      </c>
    </row>
    <row r="81" spans="1:10" ht="60" hidden="1" x14ac:dyDescent="0.25">
      <c r="A81">
        <v>79</v>
      </c>
      <c r="B81" t="s">
        <v>183</v>
      </c>
      <c r="C81" t="s">
        <v>184</v>
      </c>
      <c r="D81" s="1" t="s">
        <v>17</v>
      </c>
      <c r="E81" t="s">
        <v>18</v>
      </c>
      <c r="G81" t="s">
        <v>19</v>
      </c>
      <c r="H81" t="s">
        <v>14</v>
      </c>
      <c r="I81" s="2">
        <v>45382</v>
      </c>
      <c r="J81" s="2">
        <v>45504</v>
      </c>
    </row>
    <row r="82" spans="1:10" ht="60" hidden="1" x14ac:dyDescent="0.25">
      <c r="A82">
        <v>80</v>
      </c>
      <c r="B82" t="s">
        <v>185</v>
      </c>
      <c r="C82" t="s">
        <v>186</v>
      </c>
      <c r="D82" s="1" t="s">
        <v>17</v>
      </c>
      <c r="E82" t="s">
        <v>18</v>
      </c>
      <c r="G82" t="s">
        <v>19</v>
      </c>
      <c r="H82" t="s">
        <v>14</v>
      </c>
      <c r="I82" s="2">
        <v>45382</v>
      </c>
      <c r="J82" s="2">
        <v>45504</v>
      </c>
    </row>
    <row r="83" spans="1:10" ht="60" x14ac:dyDescent="0.25">
      <c r="A83">
        <v>81</v>
      </c>
      <c r="B83" t="s">
        <v>187</v>
      </c>
      <c r="C83" t="s">
        <v>188</v>
      </c>
      <c r="D83" s="1" t="s">
        <v>11</v>
      </c>
      <c r="E83" t="s">
        <v>12</v>
      </c>
      <c r="G83" t="s">
        <v>13</v>
      </c>
      <c r="H83" t="s">
        <v>14</v>
      </c>
      <c r="I83" t="s">
        <v>559</v>
      </c>
      <c r="J83" t="s">
        <v>559</v>
      </c>
    </row>
    <row r="84" spans="1:10" ht="60" x14ac:dyDescent="0.25">
      <c r="A84">
        <v>82</v>
      </c>
      <c r="B84" t="s">
        <v>189</v>
      </c>
      <c r="C84" t="s">
        <v>190</v>
      </c>
      <c r="D84" s="1" t="s">
        <v>11</v>
      </c>
      <c r="E84" t="s">
        <v>12</v>
      </c>
      <c r="G84" t="s">
        <v>13</v>
      </c>
      <c r="H84" t="s">
        <v>14</v>
      </c>
      <c r="I84" t="s">
        <v>559</v>
      </c>
      <c r="J84" t="s">
        <v>559</v>
      </c>
    </row>
    <row r="85" spans="1:10" ht="60" x14ac:dyDescent="0.25">
      <c r="A85">
        <v>83</v>
      </c>
      <c r="B85" t="s">
        <v>191</v>
      </c>
      <c r="C85" t="s">
        <v>192</v>
      </c>
      <c r="D85" s="1" t="s">
        <v>11</v>
      </c>
      <c r="E85" t="s">
        <v>12</v>
      </c>
      <c r="G85" t="s">
        <v>13</v>
      </c>
      <c r="H85" t="s">
        <v>14</v>
      </c>
      <c r="I85" t="s">
        <v>559</v>
      </c>
      <c r="J85" t="s">
        <v>559</v>
      </c>
    </row>
    <row r="86" spans="1:10" ht="75" hidden="1" x14ac:dyDescent="0.25">
      <c r="A86">
        <v>84</v>
      </c>
      <c r="B86" t="s">
        <v>193</v>
      </c>
      <c r="C86" t="s">
        <v>194</v>
      </c>
      <c r="D86" s="1" t="s">
        <v>57</v>
      </c>
      <c r="E86" t="s">
        <v>58</v>
      </c>
      <c r="G86" t="s">
        <v>54</v>
      </c>
      <c r="H86" t="s">
        <v>14</v>
      </c>
      <c r="I86" t="s">
        <v>559</v>
      </c>
      <c r="J86" t="s">
        <v>559</v>
      </c>
    </row>
    <row r="87" spans="1:10" ht="60" hidden="1" x14ac:dyDescent="0.25">
      <c r="A87">
        <v>85</v>
      </c>
      <c r="B87" t="s">
        <v>195</v>
      </c>
      <c r="C87" t="s">
        <v>196</v>
      </c>
      <c r="D87" s="1" t="s">
        <v>22</v>
      </c>
      <c r="E87" t="s">
        <v>23</v>
      </c>
      <c r="G87" t="s">
        <v>19</v>
      </c>
      <c r="H87" t="s">
        <v>14</v>
      </c>
      <c r="I87" s="2">
        <v>45291</v>
      </c>
      <c r="J87" s="2">
        <v>45412</v>
      </c>
    </row>
    <row r="88" spans="1:10" ht="60" x14ac:dyDescent="0.25">
      <c r="A88">
        <v>86</v>
      </c>
      <c r="B88" t="s">
        <v>197</v>
      </c>
      <c r="C88" t="s">
        <v>198</v>
      </c>
      <c r="D88" s="1" t="s">
        <v>11</v>
      </c>
      <c r="E88" t="s">
        <v>12</v>
      </c>
      <c r="G88" t="s">
        <v>13</v>
      </c>
      <c r="H88" t="s">
        <v>14</v>
      </c>
      <c r="I88" t="s">
        <v>559</v>
      </c>
      <c r="J88" t="s">
        <v>559</v>
      </c>
    </row>
    <row r="89" spans="1:10" ht="60" hidden="1" x14ac:dyDescent="0.25">
      <c r="A89">
        <v>87</v>
      </c>
      <c r="B89" t="s">
        <v>199</v>
      </c>
      <c r="C89" t="s">
        <v>200</v>
      </c>
      <c r="D89" s="1" t="s">
        <v>22</v>
      </c>
      <c r="E89" t="s">
        <v>23</v>
      </c>
      <c r="G89" t="s">
        <v>19</v>
      </c>
      <c r="H89" t="s">
        <v>14</v>
      </c>
      <c r="I89" s="2">
        <v>45291</v>
      </c>
      <c r="J89" s="2">
        <v>45412</v>
      </c>
    </row>
    <row r="90" spans="1:10" ht="60" hidden="1" x14ac:dyDescent="0.25">
      <c r="A90">
        <v>88</v>
      </c>
      <c r="B90" t="s">
        <v>201</v>
      </c>
      <c r="C90" t="s">
        <v>202</v>
      </c>
      <c r="D90" s="1" t="s">
        <v>17</v>
      </c>
      <c r="E90" t="s">
        <v>18</v>
      </c>
      <c r="G90" t="s">
        <v>19</v>
      </c>
      <c r="H90" t="s">
        <v>14</v>
      </c>
      <c r="I90" s="2">
        <v>45382</v>
      </c>
      <c r="J90" s="2">
        <v>45504</v>
      </c>
    </row>
    <row r="91" spans="1:10" ht="60" hidden="1" x14ac:dyDescent="0.25">
      <c r="A91">
        <v>89</v>
      </c>
      <c r="B91" t="s">
        <v>203</v>
      </c>
      <c r="C91" t="s">
        <v>204</v>
      </c>
      <c r="D91" s="1" t="s">
        <v>17</v>
      </c>
      <c r="E91" t="s">
        <v>18</v>
      </c>
      <c r="G91" t="s">
        <v>19</v>
      </c>
      <c r="H91" t="s">
        <v>14</v>
      </c>
      <c r="I91" s="2">
        <v>45382</v>
      </c>
      <c r="J91" s="2">
        <v>45504</v>
      </c>
    </row>
    <row r="92" spans="1:10" ht="60" hidden="1" x14ac:dyDescent="0.25">
      <c r="A92">
        <v>90</v>
      </c>
      <c r="B92" t="s">
        <v>205</v>
      </c>
      <c r="C92" t="s">
        <v>206</v>
      </c>
      <c r="D92" s="1" t="s">
        <v>22</v>
      </c>
      <c r="E92" t="s">
        <v>23</v>
      </c>
      <c r="G92" t="s">
        <v>19</v>
      </c>
      <c r="H92" t="s">
        <v>14</v>
      </c>
      <c r="I92" s="2">
        <v>45291</v>
      </c>
      <c r="J92" s="2">
        <v>45412</v>
      </c>
    </row>
    <row r="93" spans="1:10" ht="60" hidden="1" x14ac:dyDescent="0.25">
      <c r="A93">
        <v>91</v>
      </c>
      <c r="B93" t="s">
        <v>207</v>
      </c>
      <c r="C93" t="s">
        <v>208</v>
      </c>
      <c r="D93" s="1" t="s">
        <v>22</v>
      </c>
      <c r="E93" t="s">
        <v>23</v>
      </c>
      <c r="G93" t="s">
        <v>19</v>
      </c>
      <c r="H93" t="s">
        <v>14</v>
      </c>
      <c r="I93" s="2">
        <v>45291</v>
      </c>
      <c r="J93" s="2">
        <v>45412</v>
      </c>
    </row>
    <row r="94" spans="1:10" ht="60" hidden="1" x14ac:dyDescent="0.25">
      <c r="A94">
        <v>92</v>
      </c>
      <c r="B94" t="s">
        <v>209</v>
      </c>
      <c r="C94" t="s">
        <v>210</v>
      </c>
      <c r="D94" s="1" t="s">
        <v>17</v>
      </c>
      <c r="E94" t="s">
        <v>18</v>
      </c>
      <c r="G94" t="s">
        <v>19</v>
      </c>
      <c r="H94" t="s">
        <v>14</v>
      </c>
      <c r="I94" s="2">
        <v>45382</v>
      </c>
      <c r="J94" s="2">
        <v>45504</v>
      </c>
    </row>
    <row r="95" spans="1:10" ht="60" hidden="1" x14ac:dyDescent="0.25">
      <c r="A95">
        <v>93</v>
      </c>
      <c r="B95" t="s">
        <v>211</v>
      </c>
      <c r="C95" t="s">
        <v>212</v>
      </c>
      <c r="D95" s="1" t="s">
        <v>22</v>
      </c>
      <c r="E95" t="s">
        <v>23</v>
      </c>
      <c r="G95" t="s">
        <v>19</v>
      </c>
      <c r="H95" t="s">
        <v>14</v>
      </c>
      <c r="I95" s="2">
        <v>45291</v>
      </c>
      <c r="J95" s="2">
        <v>45412</v>
      </c>
    </row>
    <row r="96" spans="1:10" ht="75" hidden="1" x14ac:dyDescent="0.25">
      <c r="A96">
        <v>94</v>
      </c>
      <c r="B96" t="s">
        <v>213</v>
      </c>
      <c r="C96" t="s">
        <v>214</v>
      </c>
      <c r="D96" s="1" t="s">
        <v>57</v>
      </c>
      <c r="E96" t="s">
        <v>58</v>
      </c>
      <c r="G96" t="s">
        <v>54</v>
      </c>
      <c r="H96" t="s">
        <v>14</v>
      </c>
      <c r="I96" t="s">
        <v>559</v>
      </c>
      <c r="J96" t="s">
        <v>559</v>
      </c>
    </row>
    <row r="97" spans="1:10" ht="60" hidden="1" x14ac:dyDescent="0.25">
      <c r="A97">
        <v>95</v>
      </c>
      <c r="B97" t="s">
        <v>215</v>
      </c>
      <c r="C97" t="s">
        <v>216</v>
      </c>
      <c r="D97" s="1" t="s">
        <v>17</v>
      </c>
      <c r="E97" t="s">
        <v>18</v>
      </c>
      <c r="G97" t="s">
        <v>19</v>
      </c>
      <c r="H97" t="s">
        <v>14</v>
      </c>
      <c r="I97" s="2">
        <v>45382</v>
      </c>
      <c r="J97" s="2">
        <v>45504</v>
      </c>
    </row>
    <row r="98" spans="1:10" ht="60" x14ac:dyDescent="0.25">
      <c r="A98">
        <v>96</v>
      </c>
      <c r="B98" t="s">
        <v>217</v>
      </c>
      <c r="C98" t="s">
        <v>218</v>
      </c>
      <c r="D98" s="1" t="s">
        <v>11</v>
      </c>
      <c r="E98" t="s">
        <v>12</v>
      </c>
      <c r="G98" t="s">
        <v>13</v>
      </c>
      <c r="H98" t="s">
        <v>14</v>
      </c>
      <c r="I98" t="s">
        <v>559</v>
      </c>
      <c r="J98" t="s">
        <v>559</v>
      </c>
    </row>
    <row r="99" spans="1:10" ht="60" x14ac:dyDescent="0.25">
      <c r="A99">
        <v>97</v>
      </c>
      <c r="B99" t="s">
        <v>219</v>
      </c>
      <c r="C99" t="s">
        <v>220</v>
      </c>
      <c r="D99" s="1" t="s">
        <v>11</v>
      </c>
      <c r="E99" t="s">
        <v>12</v>
      </c>
      <c r="G99" t="s">
        <v>13</v>
      </c>
      <c r="H99" t="s">
        <v>14</v>
      </c>
      <c r="I99" t="s">
        <v>559</v>
      </c>
      <c r="J99" t="s">
        <v>559</v>
      </c>
    </row>
    <row r="100" spans="1:10" ht="60" x14ac:dyDescent="0.25">
      <c r="A100">
        <v>98</v>
      </c>
      <c r="B100" t="s">
        <v>221</v>
      </c>
      <c r="C100" t="s">
        <v>222</v>
      </c>
      <c r="D100" s="1" t="s">
        <v>11</v>
      </c>
      <c r="E100" t="s">
        <v>12</v>
      </c>
      <c r="G100" t="s">
        <v>13</v>
      </c>
      <c r="H100" t="s">
        <v>14</v>
      </c>
      <c r="I100" t="s">
        <v>559</v>
      </c>
      <c r="J100" t="s">
        <v>559</v>
      </c>
    </row>
    <row r="101" spans="1:10" ht="60" hidden="1" x14ac:dyDescent="0.25">
      <c r="A101">
        <v>99</v>
      </c>
      <c r="B101" t="s">
        <v>223</v>
      </c>
      <c r="C101" t="s">
        <v>224</v>
      </c>
      <c r="D101" s="1" t="s">
        <v>17</v>
      </c>
      <c r="E101" t="s">
        <v>18</v>
      </c>
      <c r="G101" t="s">
        <v>19</v>
      </c>
      <c r="H101" t="s">
        <v>14</v>
      </c>
      <c r="I101" s="2">
        <v>45382</v>
      </c>
      <c r="J101" s="2">
        <v>45504</v>
      </c>
    </row>
    <row r="102" spans="1:10" ht="60" x14ac:dyDescent="0.25">
      <c r="A102">
        <v>100</v>
      </c>
      <c r="B102" t="s">
        <v>225</v>
      </c>
      <c r="C102" t="s">
        <v>226</v>
      </c>
      <c r="D102" s="1" t="s">
        <v>11</v>
      </c>
      <c r="E102" t="s">
        <v>12</v>
      </c>
      <c r="G102" t="s">
        <v>13</v>
      </c>
      <c r="H102" t="s">
        <v>14</v>
      </c>
      <c r="I102" t="s">
        <v>559</v>
      </c>
      <c r="J102" t="s">
        <v>559</v>
      </c>
    </row>
    <row r="103" spans="1:10" ht="60" x14ac:dyDescent="0.25">
      <c r="A103">
        <v>101</v>
      </c>
      <c r="B103" t="s">
        <v>227</v>
      </c>
      <c r="C103" t="s">
        <v>228</v>
      </c>
      <c r="D103" s="1" t="s">
        <v>11</v>
      </c>
      <c r="E103" t="s">
        <v>12</v>
      </c>
      <c r="G103" t="s">
        <v>13</v>
      </c>
      <c r="H103" t="s">
        <v>14</v>
      </c>
      <c r="I103" t="s">
        <v>559</v>
      </c>
      <c r="J103" t="s">
        <v>559</v>
      </c>
    </row>
    <row r="104" spans="1:10" ht="60" hidden="1" x14ac:dyDescent="0.25">
      <c r="A104">
        <v>102</v>
      </c>
      <c r="B104" t="s">
        <v>229</v>
      </c>
      <c r="C104" t="s">
        <v>230</v>
      </c>
      <c r="D104" s="1" t="s">
        <v>17</v>
      </c>
      <c r="E104" t="s">
        <v>18</v>
      </c>
      <c r="G104" t="s">
        <v>19</v>
      </c>
      <c r="H104" t="s">
        <v>14</v>
      </c>
      <c r="I104" s="2">
        <v>45382</v>
      </c>
      <c r="J104" s="2">
        <v>45504</v>
      </c>
    </row>
    <row r="105" spans="1:10" ht="60" x14ac:dyDescent="0.25">
      <c r="A105">
        <v>103</v>
      </c>
      <c r="B105" t="s">
        <v>231</v>
      </c>
      <c r="C105" t="s">
        <v>232</v>
      </c>
      <c r="D105" s="1" t="s">
        <v>11</v>
      </c>
      <c r="E105" t="s">
        <v>12</v>
      </c>
      <c r="G105" t="s">
        <v>13</v>
      </c>
      <c r="H105" t="s">
        <v>14</v>
      </c>
      <c r="I105" t="s">
        <v>559</v>
      </c>
      <c r="J105" t="s">
        <v>559</v>
      </c>
    </row>
    <row r="106" spans="1:10" ht="60" x14ac:dyDescent="0.25">
      <c r="A106">
        <v>104</v>
      </c>
      <c r="B106" t="s">
        <v>233</v>
      </c>
      <c r="C106" t="s">
        <v>234</v>
      </c>
      <c r="D106" s="1" t="s">
        <v>11</v>
      </c>
      <c r="E106" t="s">
        <v>12</v>
      </c>
      <c r="G106" t="s">
        <v>13</v>
      </c>
      <c r="H106" t="s">
        <v>14</v>
      </c>
      <c r="I106" t="s">
        <v>559</v>
      </c>
      <c r="J106" t="s">
        <v>559</v>
      </c>
    </row>
    <row r="107" spans="1:10" ht="60" x14ac:dyDescent="0.25">
      <c r="A107">
        <v>105</v>
      </c>
      <c r="B107" t="s">
        <v>235</v>
      </c>
      <c r="C107" t="s">
        <v>236</v>
      </c>
      <c r="D107" s="1" t="s">
        <v>11</v>
      </c>
      <c r="E107" t="s">
        <v>12</v>
      </c>
      <c r="G107" t="s">
        <v>13</v>
      </c>
      <c r="H107" t="s">
        <v>14</v>
      </c>
      <c r="I107" t="s">
        <v>559</v>
      </c>
      <c r="J107" t="s">
        <v>559</v>
      </c>
    </row>
    <row r="108" spans="1:10" ht="60" hidden="1" x14ac:dyDescent="0.25">
      <c r="A108">
        <v>106</v>
      </c>
      <c r="B108" t="s">
        <v>237</v>
      </c>
      <c r="C108" t="s">
        <v>238</v>
      </c>
      <c r="D108" s="1" t="s">
        <v>17</v>
      </c>
      <c r="E108" t="s">
        <v>18</v>
      </c>
      <c r="G108" t="s">
        <v>19</v>
      </c>
      <c r="H108" t="s">
        <v>14</v>
      </c>
      <c r="I108" s="2">
        <v>45382</v>
      </c>
      <c r="J108" s="2">
        <v>45504</v>
      </c>
    </row>
    <row r="109" spans="1:10" ht="60" hidden="1" x14ac:dyDescent="0.25">
      <c r="A109">
        <v>107</v>
      </c>
      <c r="B109" t="s">
        <v>239</v>
      </c>
      <c r="C109" t="s">
        <v>240</v>
      </c>
      <c r="D109" s="1" t="s">
        <v>17</v>
      </c>
      <c r="E109" t="s">
        <v>18</v>
      </c>
      <c r="G109" t="s">
        <v>19</v>
      </c>
      <c r="H109" t="s">
        <v>14</v>
      </c>
      <c r="I109" s="2">
        <v>45382</v>
      </c>
      <c r="J109" s="2">
        <v>45504</v>
      </c>
    </row>
    <row r="110" spans="1:10" ht="75" hidden="1" x14ac:dyDescent="0.25">
      <c r="A110">
        <v>108</v>
      </c>
      <c r="B110" t="s">
        <v>241</v>
      </c>
      <c r="C110" t="s">
        <v>242</v>
      </c>
      <c r="D110" s="1" t="s">
        <v>57</v>
      </c>
      <c r="E110" t="s">
        <v>58</v>
      </c>
      <c r="G110" t="s">
        <v>54</v>
      </c>
      <c r="H110" t="s">
        <v>14</v>
      </c>
      <c r="I110" t="s">
        <v>559</v>
      </c>
      <c r="J110" t="s">
        <v>559</v>
      </c>
    </row>
    <row r="111" spans="1:10" ht="60" hidden="1" x14ac:dyDescent="0.25">
      <c r="A111">
        <v>109</v>
      </c>
      <c r="B111" t="s">
        <v>243</v>
      </c>
      <c r="C111" t="s">
        <v>244</v>
      </c>
      <c r="D111" s="1" t="s">
        <v>22</v>
      </c>
      <c r="E111" t="s">
        <v>23</v>
      </c>
      <c r="G111" t="s">
        <v>19</v>
      </c>
      <c r="H111" t="s">
        <v>14</v>
      </c>
      <c r="I111" s="2">
        <v>45291</v>
      </c>
      <c r="J111" s="2">
        <v>45412</v>
      </c>
    </row>
    <row r="112" spans="1:10" ht="75" hidden="1" x14ac:dyDescent="0.25">
      <c r="A112">
        <v>110</v>
      </c>
      <c r="B112" t="s">
        <v>245</v>
      </c>
      <c r="C112" t="s">
        <v>246</v>
      </c>
      <c r="D112" s="1" t="s">
        <v>57</v>
      </c>
      <c r="E112" t="s">
        <v>58</v>
      </c>
      <c r="G112" t="s">
        <v>54</v>
      </c>
      <c r="H112" t="s">
        <v>14</v>
      </c>
      <c r="I112" t="s">
        <v>559</v>
      </c>
      <c r="J112" t="s">
        <v>559</v>
      </c>
    </row>
    <row r="113" spans="1:10" ht="60" hidden="1" x14ac:dyDescent="0.25">
      <c r="A113">
        <v>111</v>
      </c>
      <c r="B113" t="s">
        <v>247</v>
      </c>
      <c r="C113" t="s">
        <v>248</v>
      </c>
      <c r="D113" s="1" t="s">
        <v>17</v>
      </c>
      <c r="E113" t="s">
        <v>18</v>
      </c>
      <c r="G113" t="s">
        <v>19</v>
      </c>
      <c r="H113" t="s">
        <v>14</v>
      </c>
      <c r="I113" s="2">
        <v>45382</v>
      </c>
      <c r="J113" s="2">
        <v>45504</v>
      </c>
    </row>
    <row r="114" spans="1:10" ht="60" x14ac:dyDescent="0.25">
      <c r="A114">
        <v>112</v>
      </c>
      <c r="B114" t="s">
        <v>249</v>
      </c>
      <c r="C114" t="s">
        <v>250</v>
      </c>
      <c r="D114" s="1" t="s">
        <v>11</v>
      </c>
      <c r="E114" t="s">
        <v>12</v>
      </c>
      <c r="G114" t="s">
        <v>13</v>
      </c>
      <c r="H114" t="s">
        <v>14</v>
      </c>
      <c r="I114" t="s">
        <v>559</v>
      </c>
      <c r="J114" t="s">
        <v>559</v>
      </c>
    </row>
    <row r="115" spans="1:10" ht="60" x14ac:dyDescent="0.25">
      <c r="A115">
        <v>113</v>
      </c>
      <c r="B115" t="s">
        <v>251</v>
      </c>
      <c r="C115" t="s">
        <v>252</v>
      </c>
      <c r="D115" s="1" t="s">
        <v>11</v>
      </c>
      <c r="E115" t="s">
        <v>12</v>
      </c>
      <c r="G115" t="s">
        <v>13</v>
      </c>
      <c r="H115" t="s">
        <v>14</v>
      </c>
      <c r="I115" t="s">
        <v>559</v>
      </c>
      <c r="J115" t="s">
        <v>559</v>
      </c>
    </row>
    <row r="116" spans="1:10" ht="60" x14ac:dyDescent="0.25">
      <c r="A116">
        <v>114</v>
      </c>
      <c r="B116" t="s">
        <v>253</v>
      </c>
      <c r="C116" t="s">
        <v>254</v>
      </c>
      <c r="D116" s="1" t="s">
        <v>11</v>
      </c>
      <c r="E116" t="s">
        <v>12</v>
      </c>
      <c r="G116" t="s">
        <v>13</v>
      </c>
      <c r="H116" t="s">
        <v>14</v>
      </c>
      <c r="I116" t="s">
        <v>559</v>
      </c>
      <c r="J116" t="s">
        <v>559</v>
      </c>
    </row>
    <row r="117" spans="1:10" ht="60" hidden="1" x14ac:dyDescent="0.25">
      <c r="A117">
        <v>115</v>
      </c>
      <c r="B117" t="s">
        <v>255</v>
      </c>
      <c r="C117" t="s">
        <v>256</v>
      </c>
      <c r="D117" s="1" t="s">
        <v>17</v>
      </c>
      <c r="E117" t="s">
        <v>18</v>
      </c>
      <c r="G117" t="s">
        <v>19</v>
      </c>
      <c r="H117" t="s">
        <v>14</v>
      </c>
      <c r="I117" s="2">
        <v>45382</v>
      </c>
      <c r="J117" s="2">
        <v>45504</v>
      </c>
    </row>
    <row r="118" spans="1:10" ht="60" x14ac:dyDescent="0.25">
      <c r="A118">
        <v>116</v>
      </c>
      <c r="B118" t="s">
        <v>257</v>
      </c>
      <c r="C118" t="s">
        <v>258</v>
      </c>
      <c r="D118" s="1" t="s">
        <v>11</v>
      </c>
      <c r="E118" t="s">
        <v>12</v>
      </c>
      <c r="G118" t="s">
        <v>13</v>
      </c>
      <c r="H118" t="s">
        <v>14</v>
      </c>
      <c r="I118" t="s">
        <v>559</v>
      </c>
      <c r="J118" t="s">
        <v>559</v>
      </c>
    </row>
    <row r="119" spans="1:10" ht="60" hidden="1" x14ac:dyDescent="0.25">
      <c r="A119">
        <v>117</v>
      </c>
      <c r="B119" t="s">
        <v>259</v>
      </c>
      <c r="C119" t="s">
        <v>260</v>
      </c>
      <c r="D119" s="1" t="s">
        <v>22</v>
      </c>
      <c r="E119" t="s">
        <v>23</v>
      </c>
      <c r="G119" t="s">
        <v>19</v>
      </c>
      <c r="H119" t="s">
        <v>14</v>
      </c>
      <c r="I119" s="2">
        <v>45291</v>
      </c>
      <c r="J119" s="2">
        <v>45412</v>
      </c>
    </row>
    <row r="120" spans="1:10" ht="60" x14ac:dyDescent="0.25">
      <c r="A120">
        <v>118</v>
      </c>
      <c r="B120" t="s">
        <v>261</v>
      </c>
      <c r="C120" t="s">
        <v>262</v>
      </c>
      <c r="D120" s="1" t="s">
        <v>11</v>
      </c>
      <c r="E120" t="s">
        <v>12</v>
      </c>
      <c r="G120" t="s">
        <v>13</v>
      </c>
      <c r="H120" t="s">
        <v>14</v>
      </c>
      <c r="I120" t="s">
        <v>559</v>
      </c>
      <c r="J120" t="s">
        <v>559</v>
      </c>
    </row>
    <row r="121" spans="1:10" ht="60" x14ac:dyDescent="0.25">
      <c r="A121">
        <v>119</v>
      </c>
      <c r="B121" t="s">
        <v>263</v>
      </c>
      <c r="C121" t="s">
        <v>264</v>
      </c>
      <c r="D121" s="1" t="s">
        <v>11</v>
      </c>
      <c r="E121" t="s">
        <v>12</v>
      </c>
      <c r="G121" t="s">
        <v>13</v>
      </c>
      <c r="H121" t="s">
        <v>14</v>
      </c>
      <c r="I121" t="s">
        <v>559</v>
      </c>
      <c r="J121" t="s">
        <v>559</v>
      </c>
    </row>
    <row r="122" spans="1:10" ht="60" hidden="1" x14ac:dyDescent="0.25">
      <c r="A122">
        <v>120</v>
      </c>
      <c r="B122" t="s">
        <v>265</v>
      </c>
      <c r="C122" t="s">
        <v>266</v>
      </c>
      <c r="D122" s="1" t="s">
        <v>17</v>
      </c>
      <c r="E122" t="s">
        <v>18</v>
      </c>
      <c r="G122" t="s">
        <v>19</v>
      </c>
      <c r="H122" t="s">
        <v>14</v>
      </c>
      <c r="I122" s="2">
        <v>45382</v>
      </c>
      <c r="J122" s="2">
        <v>45504</v>
      </c>
    </row>
    <row r="123" spans="1:10" ht="60" hidden="1" x14ac:dyDescent="0.25">
      <c r="A123">
        <v>121</v>
      </c>
      <c r="B123" t="s">
        <v>267</v>
      </c>
      <c r="C123" t="s">
        <v>268</v>
      </c>
      <c r="D123" s="1" t="s">
        <v>17</v>
      </c>
      <c r="E123" t="s">
        <v>18</v>
      </c>
      <c r="G123" t="s">
        <v>19</v>
      </c>
      <c r="H123" t="s">
        <v>14</v>
      </c>
      <c r="I123" s="2">
        <v>45382</v>
      </c>
      <c r="J123" s="2">
        <v>45504</v>
      </c>
    </row>
    <row r="124" spans="1:10" ht="60" x14ac:dyDescent="0.25">
      <c r="A124">
        <v>122</v>
      </c>
      <c r="B124" t="s">
        <v>269</v>
      </c>
      <c r="C124" t="s">
        <v>270</v>
      </c>
      <c r="D124" s="1" t="s">
        <v>11</v>
      </c>
      <c r="E124" t="s">
        <v>12</v>
      </c>
      <c r="G124" t="s">
        <v>13</v>
      </c>
      <c r="H124" t="s">
        <v>14</v>
      </c>
      <c r="I124" t="s">
        <v>559</v>
      </c>
      <c r="J124" t="s">
        <v>559</v>
      </c>
    </row>
    <row r="125" spans="1:10" ht="60" hidden="1" x14ac:dyDescent="0.25">
      <c r="A125">
        <v>123</v>
      </c>
      <c r="B125" t="s">
        <v>271</v>
      </c>
      <c r="C125" t="s">
        <v>272</v>
      </c>
      <c r="D125" s="1" t="s">
        <v>22</v>
      </c>
      <c r="E125" t="s">
        <v>23</v>
      </c>
      <c r="G125" t="s">
        <v>19</v>
      </c>
      <c r="H125" t="s">
        <v>14</v>
      </c>
      <c r="I125" s="2">
        <v>45291</v>
      </c>
      <c r="J125" s="2">
        <v>45412</v>
      </c>
    </row>
    <row r="126" spans="1:10" ht="60" x14ac:dyDescent="0.25">
      <c r="A126">
        <v>124</v>
      </c>
      <c r="B126" t="s">
        <v>273</v>
      </c>
      <c r="C126" t="s">
        <v>274</v>
      </c>
      <c r="D126" s="1" t="s">
        <v>11</v>
      </c>
      <c r="E126" t="s">
        <v>12</v>
      </c>
      <c r="G126" t="s">
        <v>13</v>
      </c>
      <c r="H126" t="s">
        <v>14</v>
      </c>
      <c r="I126" t="s">
        <v>559</v>
      </c>
      <c r="J126" t="s">
        <v>559</v>
      </c>
    </row>
    <row r="127" spans="1:10" ht="60" hidden="1" x14ac:dyDescent="0.25">
      <c r="A127">
        <v>125</v>
      </c>
      <c r="B127" t="s">
        <v>275</v>
      </c>
      <c r="C127" t="s">
        <v>276</v>
      </c>
      <c r="D127" s="1" t="s">
        <v>22</v>
      </c>
      <c r="E127" t="s">
        <v>23</v>
      </c>
      <c r="G127" t="s">
        <v>19</v>
      </c>
      <c r="H127" t="s">
        <v>14</v>
      </c>
      <c r="I127" s="2">
        <v>45291</v>
      </c>
      <c r="J127" s="2">
        <v>45412</v>
      </c>
    </row>
    <row r="128" spans="1:10" ht="60" x14ac:dyDescent="0.25">
      <c r="A128">
        <v>126</v>
      </c>
      <c r="B128" t="s">
        <v>277</v>
      </c>
      <c r="C128" t="s">
        <v>278</v>
      </c>
      <c r="D128" s="1" t="s">
        <v>11</v>
      </c>
      <c r="E128" t="s">
        <v>12</v>
      </c>
      <c r="G128" t="s">
        <v>13</v>
      </c>
      <c r="H128" t="s">
        <v>14</v>
      </c>
      <c r="I128" t="s">
        <v>559</v>
      </c>
      <c r="J128" t="s">
        <v>559</v>
      </c>
    </row>
    <row r="129" spans="1:10" ht="60" hidden="1" x14ac:dyDescent="0.25">
      <c r="A129">
        <v>127</v>
      </c>
      <c r="B129" t="s">
        <v>279</v>
      </c>
      <c r="C129" t="s">
        <v>280</v>
      </c>
      <c r="D129" s="1" t="s">
        <v>17</v>
      </c>
      <c r="E129" t="s">
        <v>18</v>
      </c>
      <c r="G129" t="s">
        <v>19</v>
      </c>
      <c r="H129" t="s">
        <v>14</v>
      </c>
      <c r="I129" s="2">
        <v>45382</v>
      </c>
      <c r="J129" s="2">
        <v>45504</v>
      </c>
    </row>
    <row r="130" spans="1:10" ht="60" x14ac:dyDescent="0.25">
      <c r="A130">
        <v>128</v>
      </c>
      <c r="B130" t="s">
        <v>281</v>
      </c>
      <c r="C130" t="s">
        <v>282</v>
      </c>
      <c r="D130" s="1" t="s">
        <v>11</v>
      </c>
      <c r="E130" t="s">
        <v>12</v>
      </c>
      <c r="G130" t="s">
        <v>13</v>
      </c>
      <c r="H130" t="s">
        <v>14</v>
      </c>
      <c r="I130" t="s">
        <v>559</v>
      </c>
      <c r="J130" t="s">
        <v>559</v>
      </c>
    </row>
    <row r="131" spans="1:10" ht="60" x14ac:dyDescent="0.25">
      <c r="A131">
        <v>129</v>
      </c>
      <c r="B131" t="s">
        <v>283</v>
      </c>
      <c r="C131" t="s">
        <v>284</v>
      </c>
      <c r="D131" s="1" t="s">
        <v>11</v>
      </c>
      <c r="E131" t="s">
        <v>12</v>
      </c>
      <c r="G131" t="s">
        <v>13</v>
      </c>
      <c r="H131" t="s">
        <v>14</v>
      </c>
      <c r="I131" t="s">
        <v>559</v>
      </c>
      <c r="J131" t="s">
        <v>559</v>
      </c>
    </row>
    <row r="132" spans="1:10" ht="75" hidden="1" x14ac:dyDescent="0.25">
      <c r="A132">
        <v>130</v>
      </c>
      <c r="B132" t="s">
        <v>285</v>
      </c>
      <c r="C132" t="s">
        <v>286</v>
      </c>
      <c r="D132" s="1" t="s">
        <v>57</v>
      </c>
      <c r="E132" t="s">
        <v>58</v>
      </c>
      <c r="G132" t="s">
        <v>54</v>
      </c>
      <c r="H132" t="s">
        <v>14</v>
      </c>
      <c r="I132" t="s">
        <v>559</v>
      </c>
      <c r="J132" t="s">
        <v>559</v>
      </c>
    </row>
    <row r="133" spans="1:10" ht="60" hidden="1" x14ac:dyDescent="0.25">
      <c r="A133">
        <v>131</v>
      </c>
      <c r="B133" t="s">
        <v>287</v>
      </c>
      <c r="C133" t="s">
        <v>288</v>
      </c>
      <c r="D133" s="1" t="s">
        <v>17</v>
      </c>
      <c r="E133" t="s">
        <v>18</v>
      </c>
      <c r="F133" t="s">
        <v>289</v>
      </c>
      <c r="G133" t="s">
        <v>19</v>
      </c>
      <c r="H133" t="s">
        <v>290</v>
      </c>
      <c r="I133" s="2">
        <v>45382</v>
      </c>
      <c r="J133" s="2">
        <v>45504</v>
      </c>
    </row>
    <row r="134" spans="1:10" ht="60" hidden="1" x14ac:dyDescent="0.25">
      <c r="A134">
        <v>132</v>
      </c>
      <c r="B134" t="s">
        <v>291</v>
      </c>
      <c r="C134" t="s">
        <v>288</v>
      </c>
      <c r="D134" s="1" t="s">
        <v>17</v>
      </c>
      <c r="E134" t="s">
        <v>18</v>
      </c>
      <c r="F134" t="s">
        <v>292</v>
      </c>
      <c r="G134" t="s">
        <v>19</v>
      </c>
      <c r="H134" t="s">
        <v>290</v>
      </c>
      <c r="I134" s="2">
        <v>45382</v>
      </c>
      <c r="J134" s="2">
        <v>45504</v>
      </c>
    </row>
    <row r="135" spans="1:10" ht="60" hidden="1" x14ac:dyDescent="0.25">
      <c r="A135">
        <v>133</v>
      </c>
      <c r="B135" t="s">
        <v>293</v>
      </c>
      <c r="C135" t="s">
        <v>288</v>
      </c>
      <c r="D135" s="1" t="s">
        <v>17</v>
      </c>
      <c r="E135" t="s">
        <v>18</v>
      </c>
      <c r="F135" t="s">
        <v>294</v>
      </c>
      <c r="G135" t="s">
        <v>19</v>
      </c>
      <c r="H135" t="s">
        <v>290</v>
      </c>
      <c r="I135" s="2">
        <v>45382</v>
      </c>
      <c r="J135" s="2">
        <v>45504</v>
      </c>
    </row>
    <row r="136" spans="1:10" ht="60" hidden="1" x14ac:dyDescent="0.25">
      <c r="A136">
        <v>134</v>
      </c>
      <c r="B136" t="s">
        <v>295</v>
      </c>
      <c r="C136" t="s">
        <v>288</v>
      </c>
      <c r="D136" s="1" t="s">
        <v>17</v>
      </c>
      <c r="E136" t="s">
        <v>18</v>
      </c>
      <c r="F136" t="s">
        <v>296</v>
      </c>
      <c r="G136" t="s">
        <v>19</v>
      </c>
      <c r="H136" t="s">
        <v>290</v>
      </c>
      <c r="I136" s="2">
        <v>45382</v>
      </c>
      <c r="J136" s="2">
        <v>45504</v>
      </c>
    </row>
    <row r="137" spans="1:10" ht="60" hidden="1" x14ac:dyDescent="0.25">
      <c r="A137">
        <v>135</v>
      </c>
      <c r="B137" t="s">
        <v>297</v>
      </c>
      <c r="C137" t="s">
        <v>288</v>
      </c>
      <c r="D137" s="1" t="s">
        <v>17</v>
      </c>
      <c r="E137" t="s">
        <v>18</v>
      </c>
      <c r="F137" t="s">
        <v>298</v>
      </c>
      <c r="G137" t="s">
        <v>19</v>
      </c>
      <c r="H137" t="s">
        <v>290</v>
      </c>
      <c r="I137" s="2">
        <v>45382</v>
      </c>
      <c r="J137" s="2">
        <v>45504</v>
      </c>
    </row>
    <row r="138" spans="1:10" ht="60" hidden="1" x14ac:dyDescent="0.25">
      <c r="A138">
        <v>136</v>
      </c>
      <c r="B138" t="s">
        <v>299</v>
      </c>
      <c r="C138" t="s">
        <v>288</v>
      </c>
      <c r="D138" s="1" t="s">
        <v>17</v>
      </c>
      <c r="E138" t="s">
        <v>18</v>
      </c>
      <c r="F138" t="s">
        <v>300</v>
      </c>
      <c r="G138" t="s">
        <v>19</v>
      </c>
      <c r="H138" t="s">
        <v>290</v>
      </c>
      <c r="I138" s="2">
        <v>45382</v>
      </c>
      <c r="J138" s="2">
        <v>45504</v>
      </c>
    </row>
    <row r="139" spans="1:10" ht="60" x14ac:dyDescent="0.25">
      <c r="A139">
        <v>137</v>
      </c>
      <c r="B139" t="s">
        <v>301</v>
      </c>
      <c r="C139" t="s">
        <v>288</v>
      </c>
      <c r="D139" s="1" t="s">
        <v>11</v>
      </c>
      <c r="E139" t="s">
        <v>12</v>
      </c>
      <c r="F139" t="s">
        <v>302</v>
      </c>
      <c r="G139" t="s">
        <v>13</v>
      </c>
      <c r="H139" t="s">
        <v>290</v>
      </c>
      <c r="I139" t="s">
        <v>559</v>
      </c>
      <c r="J139" t="s">
        <v>559</v>
      </c>
    </row>
    <row r="140" spans="1:10" ht="60" hidden="1" x14ac:dyDescent="0.25">
      <c r="A140">
        <v>138</v>
      </c>
      <c r="B140" t="s">
        <v>303</v>
      </c>
      <c r="C140" t="s">
        <v>304</v>
      </c>
      <c r="D140" s="1" t="s">
        <v>17</v>
      </c>
      <c r="E140" t="s">
        <v>18</v>
      </c>
      <c r="F140" t="s">
        <v>305</v>
      </c>
      <c r="G140" t="s">
        <v>19</v>
      </c>
      <c r="H140" t="s">
        <v>290</v>
      </c>
      <c r="I140" s="2">
        <v>45382</v>
      </c>
      <c r="J140" s="2">
        <v>45504</v>
      </c>
    </row>
    <row r="141" spans="1:10" ht="60" hidden="1" x14ac:dyDescent="0.25">
      <c r="A141">
        <v>139</v>
      </c>
      <c r="B141" t="s">
        <v>306</v>
      </c>
      <c r="C141" t="s">
        <v>307</v>
      </c>
      <c r="D141" s="1" t="s">
        <v>17</v>
      </c>
      <c r="E141" t="s">
        <v>18</v>
      </c>
      <c r="F141" t="s">
        <v>308</v>
      </c>
      <c r="G141" t="s">
        <v>19</v>
      </c>
      <c r="H141" t="s">
        <v>290</v>
      </c>
      <c r="I141" s="2">
        <v>45382</v>
      </c>
      <c r="J141" s="2">
        <v>45504</v>
      </c>
    </row>
    <row r="142" spans="1:10" ht="60" x14ac:dyDescent="0.25">
      <c r="A142">
        <v>140</v>
      </c>
      <c r="B142" t="s">
        <v>309</v>
      </c>
      <c r="C142" t="s">
        <v>307</v>
      </c>
      <c r="D142" s="1" t="s">
        <v>11</v>
      </c>
      <c r="E142" t="s">
        <v>12</v>
      </c>
      <c r="F142" t="s">
        <v>310</v>
      </c>
      <c r="G142" t="s">
        <v>13</v>
      </c>
      <c r="H142" t="s">
        <v>290</v>
      </c>
      <c r="I142" t="s">
        <v>559</v>
      </c>
      <c r="J142" t="s">
        <v>559</v>
      </c>
    </row>
    <row r="143" spans="1:10" ht="60" hidden="1" x14ac:dyDescent="0.25">
      <c r="A143">
        <v>141</v>
      </c>
      <c r="B143" t="s">
        <v>311</v>
      </c>
      <c r="C143" t="s">
        <v>307</v>
      </c>
      <c r="D143" s="1" t="s">
        <v>17</v>
      </c>
      <c r="E143" t="s">
        <v>18</v>
      </c>
      <c r="F143" t="s">
        <v>312</v>
      </c>
      <c r="G143" t="s">
        <v>19</v>
      </c>
      <c r="H143" t="s">
        <v>290</v>
      </c>
      <c r="I143" s="2">
        <v>45382</v>
      </c>
      <c r="J143" s="2">
        <v>45504</v>
      </c>
    </row>
    <row r="144" spans="1:10" ht="60" hidden="1" x14ac:dyDescent="0.25">
      <c r="A144">
        <v>142</v>
      </c>
      <c r="B144" t="s">
        <v>313</v>
      </c>
      <c r="C144" t="s">
        <v>307</v>
      </c>
      <c r="D144" s="1" t="s">
        <v>17</v>
      </c>
      <c r="E144" t="s">
        <v>18</v>
      </c>
      <c r="F144" t="s">
        <v>314</v>
      </c>
      <c r="G144" t="s">
        <v>19</v>
      </c>
      <c r="H144" t="s">
        <v>290</v>
      </c>
      <c r="I144" s="2">
        <v>45382</v>
      </c>
      <c r="J144" s="2">
        <v>45504</v>
      </c>
    </row>
    <row r="145" spans="1:10" ht="60" hidden="1" x14ac:dyDescent="0.25">
      <c r="A145">
        <v>143</v>
      </c>
      <c r="B145" t="s">
        <v>315</v>
      </c>
      <c r="C145" t="s">
        <v>307</v>
      </c>
      <c r="D145" s="1" t="s">
        <v>17</v>
      </c>
      <c r="E145" t="s">
        <v>18</v>
      </c>
      <c r="F145" t="s">
        <v>316</v>
      </c>
      <c r="G145" t="s">
        <v>19</v>
      </c>
      <c r="H145" t="s">
        <v>290</v>
      </c>
      <c r="I145" s="2">
        <v>45382</v>
      </c>
      <c r="J145" s="2">
        <v>45504</v>
      </c>
    </row>
    <row r="146" spans="1:10" ht="60" hidden="1" x14ac:dyDescent="0.25">
      <c r="A146">
        <v>144</v>
      </c>
      <c r="B146" t="s">
        <v>317</v>
      </c>
      <c r="C146" t="s">
        <v>318</v>
      </c>
      <c r="D146" s="1" t="s">
        <v>17</v>
      </c>
      <c r="E146" t="s">
        <v>18</v>
      </c>
      <c r="F146" t="s">
        <v>319</v>
      </c>
      <c r="G146" t="s">
        <v>19</v>
      </c>
      <c r="H146" t="s">
        <v>290</v>
      </c>
      <c r="I146" s="2">
        <v>45382</v>
      </c>
      <c r="J146" s="2">
        <v>45504</v>
      </c>
    </row>
    <row r="147" spans="1:10" ht="60" hidden="1" x14ac:dyDescent="0.25">
      <c r="A147">
        <v>145</v>
      </c>
      <c r="B147" t="s">
        <v>320</v>
      </c>
      <c r="C147" t="s">
        <v>318</v>
      </c>
      <c r="D147" s="1" t="s">
        <v>17</v>
      </c>
      <c r="E147" t="s">
        <v>18</v>
      </c>
      <c r="F147" t="s">
        <v>321</v>
      </c>
      <c r="G147" t="s">
        <v>19</v>
      </c>
      <c r="H147" t="s">
        <v>290</v>
      </c>
      <c r="I147" s="2">
        <v>45382</v>
      </c>
      <c r="J147" s="2">
        <v>45504</v>
      </c>
    </row>
    <row r="148" spans="1:10" ht="60" hidden="1" x14ac:dyDescent="0.25">
      <c r="A148">
        <v>146</v>
      </c>
      <c r="B148" t="s">
        <v>322</v>
      </c>
      <c r="C148" t="s">
        <v>323</v>
      </c>
      <c r="D148" s="1" t="s">
        <v>17</v>
      </c>
      <c r="E148" t="s">
        <v>18</v>
      </c>
      <c r="F148" t="s">
        <v>324</v>
      </c>
      <c r="G148" t="s">
        <v>19</v>
      </c>
      <c r="H148" t="s">
        <v>290</v>
      </c>
      <c r="I148" s="2">
        <v>45382</v>
      </c>
      <c r="J148" s="2">
        <v>45504</v>
      </c>
    </row>
    <row r="149" spans="1:10" ht="60" hidden="1" x14ac:dyDescent="0.25">
      <c r="A149">
        <v>147</v>
      </c>
      <c r="B149" t="s">
        <v>325</v>
      </c>
      <c r="C149" t="s">
        <v>323</v>
      </c>
      <c r="D149" s="1" t="s">
        <v>17</v>
      </c>
      <c r="E149" t="s">
        <v>18</v>
      </c>
      <c r="F149" t="s">
        <v>326</v>
      </c>
      <c r="G149" t="s">
        <v>19</v>
      </c>
      <c r="H149" t="s">
        <v>290</v>
      </c>
      <c r="I149" s="2">
        <v>45382</v>
      </c>
      <c r="J149" s="2">
        <v>45504</v>
      </c>
    </row>
    <row r="150" spans="1:10" ht="60" hidden="1" x14ac:dyDescent="0.25">
      <c r="A150">
        <v>148</v>
      </c>
      <c r="B150" t="s">
        <v>327</v>
      </c>
      <c r="C150" t="s">
        <v>323</v>
      </c>
      <c r="D150" s="1" t="s">
        <v>17</v>
      </c>
      <c r="E150" t="s">
        <v>18</v>
      </c>
      <c r="F150" t="s">
        <v>328</v>
      </c>
      <c r="G150" t="s">
        <v>19</v>
      </c>
      <c r="H150" t="s">
        <v>290</v>
      </c>
      <c r="I150" s="2">
        <v>45382</v>
      </c>
      <c r="J150" s="2">
        <v>45504</v>
      </c>
    </row>
    <row r="151" spans="1:10" ht="60" hidden="1" x14ac:dyDescent="0.25">
      <c r="A151">
        <v>149</v>
      </c>
      <c r="B151" t="s">
        <v>329</v>
      </c>
      <c r="C151" t="s">
        <v>330</v>
      </c>
      <c r="D151" s="1" t="s">
        <v>17</v>
      </c>
      <c r="E151" t="s">
        <v>18</v>
      </c>
      <c r="F151" t="s">
        <v>331</v>
      </c>
      <c r="G151" t="s">
        <v>19</v>
      </c>
      <c r="H151" t="s">
        <v>290</v>
      </c>
      <c r="I151" s="2">
        <v>45382</v>
      </c>
      <c r="J151" s="2">
        <v>45504</v>
      </c>
    </row>
    <row r="152" spans="1:10" ht="60" hidden="1" x14ac:dyDescent="0.25">
      <c r="A152">
        <v>150</v>
      </c>
      <c r="B152" t="s">
        <v>332</v>
      </c>
      <c r="C152" t="s">
        <v>330</v>
      </c>
      <c r="D152" s="1" t="s">
        <v>17</v>
      </c>
      <c r="E152" t="s">
        <v>18</v>
      </c>
      <c r="F152" t="s">
        <v>333</v>
      </c>
      <c r="G152" t="s">
        <v>19</v>
      </c>
      <c r="H152" t="s">
        <v>290</v>
      </c>
      <c r="I152" s="2">
        <v>45382</v>
      </c>
      <c r="J152" s="2">
        <v>45504</v>
      </c>
    </row>
    <row r="153" spans="1:10" ht="60" hidden="1" x14ac:dyDescent="0.25">
      <c r="A153">
        <v>151</v>
      </c>
      <c r="B153" t="s">
        <v>334</v>
      </c>
      <c r="C153" t="s">
        <v>330</v>
      </c>
      <c r="D153" s="1" t="s">
        <v>17</v>
      </c>
      <c r="E153" t="s">
        <v>18</v>
      </c>
      <c r="F153" t="s">
        <v>335</v>
      </c>
      <c r="G153" t="s">
        <v>19</v>
      </c>
      <c r="H153" t="s">
        <v>290</v>
      </c>
      <c r="I153" s="2">
        <v>45382</v>
      </c>
      <c r="J153" s="2">
        <v>45504</v>
      </c>
    </row>
    <row r="154" spans="1:10" ht="60" hidden="1" x14ac:dyDescent="0.25">
      <c r="A154">
        <v>152</v>
      </c>
      <c r="B154" t="s">
        <v>336</v>
      </c>
      <c r="C154" t="s">
        <v>330</v>
      </c>
      <c r="D154" s="1" t="s">
        <v>17</v>
      </c>
      <c r="E154" t="s">
        <v>18</v>
      </c>
      <c r="F154" t="s">
        <v>337</v>
      </c>
      <c r="G154" t="s">
        <v>19</v>
      </c>
      <c r="H154" t="s">
        <v>290</v>
      </c>
      <c r="I154" s="2">
        <v>45382</v>
      </c>
      <c r="J154" s="2">
        <v>45504</v>
      </c>
    </row>
    <row r="155" spans="1:10" ht="60" hidden="1" x14ac:dyDescent="0.25">
      <c r="A155">
        <v>153</v>
      </c>
      <c r="B155" t="s">
        <v>338</v>
      </c>
      <c r="C155" t="s">
        <v>330</v>
      </c>
      <c r="D155" s="1" t="s">
        <v>17</v>
      </c>
      <c r="E155" t="s">
        <v>18</v>
      </c>
      <c r="F155" t="s">
        <v>339</v>
      </c>
      <c r="G155" t="s">
        <v>19</v>
      </c>
      <c r="H155" t="s">
        <v>290</v>
      </c>
      <c r="I155" s="2">
        <v>45382</v>
      </c>
      <c r="J155" s="2">
        <v>45504</v>
      </c>
    </row>
    <row r="156" spans="1:10" ht="60" hidden="1" x14ac:dyDescent="0.25">
      <c r="A156">
        <v>154</v>
      </c>
      <c r="B156" t="s">
        <v>340</v>
      </c>
      <c r="C156" t="s">
        <v>330</v>
      </c>
      <c r="D156" s="1" t="s">
        <v>17</v>
      </c>
      <c r="E156" t="s">
        <v>18</v>
      </c>
      <c r="F156" t="s">
        <v>341</v>
      </c>
      <c r="G156" t="s">
        <v>19</v>
      </c>
      <c r="H156" t="s">
        <v>290</v>
      </c>
      <c r="I156" s="2">
        <v>45382</v>
      </c>
      <c r="J156" s="2">
        <v>45504</v>
      </c>
    </row>
    <row r="157" spans="1:10" ht="60" hidden="1" x14ac:dyDescent="0.25">
      <c r="A157">
        <v>155</v>
      </c>
      <c r="B157" t="s">
        <v>342</v>
      </c>
      <c r="C157" t="s">
        <v>343</v>
      </c>
      <c r="D157" s="1" t="s">
        <v>17</v>
      </c>
      <c r="E157" t="s">
        <v>18</v>
      </c>
      <c r="F157" t="s">
        <v>344</v>
      </c>
      <c r="G157" t="s">
        <v>19</v>
      </c>
      <c r="H157" t="s">
        <v>290</v>
      </c>
      <c r="I157" s="2">
        <v>45382</v>
      </c>
      <c r="J157" s="2">
        <v>45504</v>
      </c>
    </row>
    <row r="158" spans="1:10" ht="60" hidden="1" x14ac:dyDescent="0.25">
      <c r="A158">
        <v>156</v>
      </c>
      <c r="B158" t="s">
        <v>345</v>
      </c>
      <c r="C158" t="s">
        <v>343</v>
      </c>
      <c r="D158" s="1" t="s">
        <v>17</v>
      </c>
      <c r="E158" t="s">
        <v>18</v>
      </c>
      <c r="F158" t="s">
        <v>346</v>
      </c>
      <c r="G158" t="s">
        <v>19</v>
      </c>
      <c r="H158" t="s">
        <v>290</v>
      </c>
      <c r="I158" s="2">
        <v>45382</v>
      </c>
      <c r="J158" s="2">
        <v>45504</v>
      </c>
    </row>
    <row r="159" spans="1:10" ht="60" hidden="1" x14ac:dyDescent="0.25">
      <c r="A159">
        <v>157</v>
      </c>
      <c r="B159" t="s">
        <v>347</v>
      </c>
      <c r="C159" t="s">
        <v>343</v>
      </c>
      <c r="D159" s="1" t="s">
        <v>17</v>
      </c>
      <c r="E159" t="s">
        <v>18</v>
      </c>
      <c r="F159" t="s">
        <v>348</v>
      </c>
      <c r="G159" t="s">
        <v>19</v>
      </c>
      <c r="H159" t="s">
        <v>290</v>
      </c>
      <c r="I159" s="2">
        <v>45382</v>
      </c>
      <c r="J159" s="2">
        <v>45504</v>
      </c>
    </row>
    <row r="160" spans="1:10" ht="60" hidden="1" x14ac:dyDescent="0.25">
      <c r="A160">
        <v>158</v>
      </c>
      <c r="B160" t="s">
        <v>349</v>
      </c>
      <c r="C160" t="s">
        <v>343</v>
      </c>
      <c r="D160" s="1" t="s">
        <v>17</v>
      </c>
      <c r="E160" t="s">
        <v>18</v>
      </c>
      <c r="F160" t="s">
        <v>350</v>
      </c>
      <c r="G160" t="s">
        <v>19</v>
      </c>
      <c r="H160" t="s">
        <v>290</v>
      </c>
      <c r="I160" s="2">
        <v>45382</v>
      </c>
      <c r="J160" s="2">
        <v>45504</v>
      </c>
    </row>
    <row r="161" spans="1:10" ht="60" hidden="1" x14ac:dyDescent="0.25">
      <c r="A161">
        <v>159</v>
      </c>
      <c r="B161" t="s">
        <v>351</v>
      </c>
      <c r="C161" t="s">
        <v>352</v>
      </c>
      <c r="D161" s="1" t="s">
        <v>17</v>
      </c>
      <c r="E161" t="s">
        <v>18</v>
      </c>
      <c r="F161" t="s">
        <v>353</v>
      </c>
      <c r="G161" t="s">
        <v>19</v>
      </c>
      <c r="H161" t="s">
        <v>290</v>
      </c>
      <c r="I161" s="2">
        <v>45382</v>
      </c>
      <c r="J161" s="2">
        <v>45504</v>
      </c>
    </row>
    <row r="162" spans="1:10" ht="60" hidden="1" x14ac:dyDescent="0.25">
      <c r="A162">
        <v>160</v>
      </c>
      <c r="B162" t="s">
        <v>354</v>
      </c>
      <c r="C162" t="s">
        <v>352</v>
      </c>
      <c r="D162" s="1" t="s">
        <v>17</v>
      </c>
      <c r="E162" t="s">
        <v>18</v>
      </c>
      <c r="F162" t="s">
        <v>355</v>
      </c>
      <c r="G162" t="s">
        <v>19</v>
      </c>
      <c r="H162" t="s">
        <v>290</v>
      </c>
      <c r="I162" s="2">
        <v>45382</v>
      </c>
      <c r="J162" s="2">
        <v>45504</v>
      </c>
    </row>
    <row r="163" spans="1:10" ht="60" x14ac:dyDescent="0.25">
      <c r="A163">
        <v>161</v>
      </c>
      <c r="B163" t="s">
        <v>356</v>
      </c>
      <c r="C163" t="s">
        <v>352</v>
      </c>
      <c r="D163" s="1" t="s">
        <v>11</v>
      </c>
      <c r="E163" t="s">
        <v>12</v>
      </c>
      <c r="F163" t="s">
        <v>357</v>
      </c>
      <c r="G163" t="s">
        <v>13</v>
      </c>
      <c r="H163" t="s">
        <v>290</v>
      </c>
      <c r="I163" t="s">
        <v>559</v>
      </c>
      <c r="J163" t="s">
        <v>559</v>
      </c>
    </row>
    <row r="164" spans="1:10" ht="60" hidden="1" x14ac:dyDescent="0.25">
      <c r="A164">
        <v>162</v>
      </c>
      <c r="B164" t="s">
        <v>358</v>
      </c>
      <c r="C164" t="s">
        <v>352</v>
      </c>
      <c r="D164" s="1" t="s">
        <v>17</v>
      </c>
      <c r="E164" t="s">
        <v>18</v>
      </c>
      <c r="F164" t="s">
        <v>359</v>
      </c>
      <c r="G164" t="s">
        <v>19</v>
      </c>
      <c r="H164" t="s">
        <v>290</v>
      </c>
      <c r="I164" s="2">
        <v>45382</v>
      </c>
      <c r="J164" s="2">
        <v>45504</v>
      </c>
    </row>
    <row r="165" spans="1:10" ht="60" hidden="1" x14ac:dyDescent="0.25">
      <c r="A165">
        <v>163</v>
      </c>
      <c r="B165" t="s">
        <v>360</v>
      </c>
      <c r="C165" t="s">
        <v>352</v>
      </c>
      <c r="D165" s="1" t="s">
        <v>17</v>
      </c>
      <c r="E165" t="s">
        <v>18</v>
      </c>
      <c r="F165" t="s">
        <v>361</v>
      </c>
      <c r="G165" t="s">
        <v>19</v>
      </c>
      <c r="H165" t="s">
        <v>290</v>
      </c>
      <c r="I165" s="2">
        <v>45382</v>
      </c>
      <c r="J165" s="2">
        <v>45504</v>
      </c>
    </row>
    <row r="166" spans="1:10" ht="60" x14ac:dyDescent="0.25">
      <c r="A166">
        <v>164</v>
      </c>
      <c r="B166" t="s">
        <v>362</v>
      </c>
      <c r="C166" t="s">
        <v>352</v>
      </c>
      <c r="D166" s="1" t="s">
        <v>11</v>
      </c>
      <c r="E166" t="s">
        <v>12</v>
      </c>
      <c r="F166" t="s">
        <v>363</v>
      </c>
      <c r="G166" t="s">
        <v>13</v>
      </c>
      <c r="H166" t="s">
        <v>290</v>
      </c>
      <c r="I166" t="s">
        <v>559</v>
      </c>
      <c r="J166" t="s">
        <v>559</v>
      </c>
    </row>
    <row r="167" spans="1:10" ht="60" hidden="1" x14ac:dyDescent="0.25">
      <c r="A167">
        <v>165</v>
      </c>
      <c r="B167" t="s">
        <v>364</v>
      </c>
      <c r="C167" t="s">
        <v>352</v>
      </c>
      <c r="D167" s="1" t="s">
        <v>17</v>
      </c>
      <c r="E167" t="s">
        <v>18</v>
      </c>
      <c r="F167" t="s">
        <v>365</v>
      </c>
      <c r="G167" t="s">
        <v>19</v>
      </c>
      <c r="H167" t="s">
        <v>290</v>
      </c>
      <c r="I167" s="2">
        <v>45382</v>
      </c>
      <c r="J167" s="2">
        <v>45504</v>
      </c>
    </row>
    <row r="168" spans="1:10" ht="60" hidden="1" x14ac:dyDescent="0.25">
      <c r="A168">
        <v>166</v>
      </c>
      <c r="B168" t="s">
        <v>366</v>
      </c>
      <c r="C168" t="s">
        <v>352</v>
      </c>
      <c r="D168" s="1" t="s">
        <v>17</v>
      </c>
      <c r="E168" t="s">
        <v>18</v>
      </c>
      <c r="F168" t="s">
        <v>367</v>
      </c>
      <c r="G168" t="s">
        <v>19</v>
      </c>
      <c r="H168" t="s">
        <v>290</v>
      </c>
      <c r="I168" s="2">
        <v>45382</v>
      </c>
      <c r="J168" s="2">
        <v>45504</v>
      </c>
    </row>
    <row r="169" spans="1:10" ht="60" hidden="1" x14ac:dyDescent="0.25">
      <c r="A169">
        <v>167</v>
      </c>
      <c r="B169" t="s">
        <v>368</v>
      </c>
      <c r="C169" t="s">
        <v>352</v>
      </c>
      <c r="D169" s="1" t="s">
        <v>17</v>
      </c>
      <c r="E169" t="s">
        <v>18</v>
      </c>
      <c r="F169" t="s">
        <v>369</v>
      </c>
      <c r="G169" t="s">
        <v>19</v>
      </c>
      <c r="H169" t="s">
        <v>290</v>
      </c>
      <c r="I169" s="2">
        <v>45382</v>
      </c>
      <c r="J169" s="2">
        <v>45504</v>
      </c>
    </row>
    <row r="170" spans="1:10" ht="60" hidden="1" x14ac:dyDescent="0.25">
      <c r="A170">
        <v>168</v>
      </c>
      <c r="B170" t="s">
        <v>370</v>
      </c>
      <c r="C170" t="s">
        <v>352</v>
      </c>
      <c r="D170" s="1" t="s">
        <v>17</v>
      </c>
      <c r="E170" t="s">
        <v>18</v>
      </c>
      <c r="F170" t="s">
        <v>371</v>
      </c>
      <c r="G170" t="s">
        <v>19</v>
      </c>
      <c r="H170" t="s">
        <v>290</v>
      </c>
      <c r="I170" s="2">
        <v>45382</v>
      </c>
      <c r="J170" s="2">
        <v>45504</v>
      </c>
    </row>
    <row r="171" spans="1:10" ht="60" x14ac:dyDescent="0.25">
      <c r="A171">
        <v>169</v>
      </c>
      <c r="B171" t="s">
        <v>372</v>
      </c>
      <c r="C171" t="s">
        <v>352</v>
      </c>
      <c r="D171" s="1" t="s">
        <v>11</v>
      </c>
      <c r="E171" t="s">
        <v>12</v>
      </c>
      <c r="F171" t="s">
        <v>373</v>
      </c>
      <c r="G171" t="s">
        <v>13</v>
      </c>
      <c r="H171" t="s">
        <v>290</v>
      </c>
      <c r="I171" t="s">
        <v>559</v>
      </c>
      <c r="J171" t="s">
        <v>559</v>
      </c>
    </row>
    <row r="172" spans="1:10" ht="60" hidden="1" x14ac:dyDescent="0.25">
      <c r="A172">
        <v>170</v>
      </c>
      <c r="B172" t="s">
        <v>374</v>
      </c>
      <c r="C172" t="s">
        <v>352</v>
      </c>
      <c r="D172" s="1" t="s">
        <v>17</v>
      </c>
      <c r="E172" t="s">
        <v>18</v>
      </c>
      <c r="F172" t="s">
        <v>375</v>
      </c>
      <c r="G172" t="s">
        <v>19</v>
      </c>
      <c r="H172" t="s">
        <v>290</v>
      </c>
      <c r="I172" s="2">
        <v>45382</v>
      </c>
      <c r="J172" s="2">
        <v>45504</v>
      </c>
    </row>
    <row r="173" spans="1:10" ht="60" hidden="1" x14ac:dyDescent="0.25">
      <c r="A173">
        <v>171</v>
      </c>
      <c r="B173" t="s">
        <v>376</v>
      </c>
      <c r="C173" t="s">
        <v>352</v>
      </c>
      <c r="D173" s="1" t="s">
        <v>17</v>
      </c>
      <c r="E173" t="s">
        <v>18</v>
      </c>
      <c r="F173" t="s">
        <v>377</v>
      </c>
      <c r="G173" t="s">
        <v>19</v>
      </c>
      <c r="H173" t="s">
        <v>290</v>
      </c>
      <c r="I173" s="2">
        <v>45382</v>
      </c>
      <c r="J173" s="2">
        <v>45504</v>
      </c>
    </row>
    <row r="174" spans="1:10" ht="60" hidden="1" x14ac:dyDescent="0.25">
      <c r="A174">
        <v>172</v>
      </c>
      <c r="B174" t="s">
        <v>378</v>
      </c>
      <c r="C174" t="s">
        <v>352</v>
      </c>
      <c r="D174" s="1" t="s">
        <v>17</v>
      </c>
      <c r="E174" t="s">
        <v>18</v>
      </c>
      <c r="F174" t="s">
        <v>379</v>
      </c>
      <c r="G174" t="s">
        <v>19</v>
      </c>
      <c r="H174" t="s">
        <v>290</v>
      </c>
      <c r="I174" s="2">
        <v>45382</v>
      </c>
      <c r="J174" s="2">
        <v>45504</v>
      </c>
    </row>
    <row r="175" spans="1:10" ht="60" hidden="1" x14ac:dyDescent="0.25">
      <c r="A175">
        <v>173</v>
      </c>
      <c r="B175" t="s">
        <v>380</v>
      </c>
      <c r="C175" t="s">
        <v>352</v>
      </c>
      <c r="D175" s="1" t="s">
        <v>17</v>
      </c>
      <c r="E175" t="s">
        <v>18</v>
      </c>
      <c r="F175" t="s">
        <v>381</v>
      </c>
      <c r="G175" t="s">
        <v>19</v>
      </c>
      <c r="H175" t="s">
        <v>290</v>
      </c>
      <c r="I175" s="2">
        <v>45382</v>
      </c>
      <c r="J175" s="2">
        <v>45504</v>
      </c>
    </row>
    <row r="176" spans="1:10" ht="60" hidden="1" x14ac:dyDescent="0.25">
      <c r="A176">
        <v>174</v>
      </c>
      <c r="B176" t="s">
        <v>382</v>
      </c>
      <c r="C176" t="s">
        <v>352</v>
      </c>
      <c r="D176" s="1" t="s">
        <v>17</v>
      </c>
      <c r="E176" t="s">
        <v>18</v>
      </c>
      <c r="F176" t="s">
        <v>383</v>
      </c>
      <c r="G176" t="s">
        <v>19</v>
      </c>
      <c r="H176" t="s">
        <v>290</v>
      </c>
      <c r="I176" s="2">
        <v>45382</v>
      </c>
      <c r="J176" s="2">
        <v>45504</v>
      </c>
    </row>
    <row r="177" spans="1:10" ht="60" x14ac:dyDescent="0.25">
      <c r="A177">
        <v>175</v>
      </c>
      <c r="B177" t="s">
        <v>384</v>
      </c>
      <c r="C177" t="s">
        <v>352</v>
      </c>
      <c r="D177" s="1" t="s">
        <v>11</v>
      </c>
      <c r="E177" t="s">
        <v>12</v>
      </c>
      <c r="F177" t="s">
        <v>385</v>
      </c>
      <c r="G177" t="s">
        <v>13</v>
      </c>
      <c r="H177" t="s">
        <v>290</v>
      </c>
      <c r="I177" t="s">
        <v>559</v>
      </c>
      <c r="J177" t="s">
        <v>559</v>
      </c>
    </row>
    <row r="178" spans="1:10" ht="60" hidden="1" x14ac:dyDescent="0.25">
      <c r="A178">
        <v>176</v>
      </c>
      <c r="B178" t="s">
        <v>386</v>
      </c>
      <c r="C178" t="s">
        <v>352</v>
      </c>
      <c r="D178" s="1" t="s">
        <v>17</v>
      </c>
      <c r="E178" t="s">
        <v>18</v>
      </c>
      <c r="F178" t="s">
        <v>387</v>
      </c>
      <c r="G178" t="s">
        <v>19</v>
      </c>
      <c r="H178" t="s">
        <v>290</v>
      </c>
      <c r="I178" s="2">
        <v>45382</v>
      </c>
      <c r="J178" s="2">
        <v>45504</v>
      </c>
    </row>
    <row r="179" spans="1:10" ht="60" x14ac:dyDescent="0.25">
      <c r="A179">
        <v>177</v>
      </c>
      <c r="B179" t="s">
        <v>388</v>
      </c>
      <c r="C179" t="s">
        <v>352</v>
      </c>
      <c r="D179" s="1" t="s">
        <v>11</v>
      </c>
      <c r="E179" t="s">
        <v>12</v>
      </c>
      <c r="F179" t="s">
        <v>389</v>
      </c>
      <c r="G179" t="s">
        <v>13</v>
      </c>
      <c r="H179" t="s">
        <v>290</v>
      </c>
      <c r="I179" t="s">
        <v>559</v>
      </c>
      <c r="J179" t="s">
        <v>559</v>
      </c>
    </row>
    <row r="180" spans="1:10" ht="60" hidden="1" x14ac:dyDescent="0.25">
      <c r="A180">
        <v>178</v>
      </c>
      <c r="B180" t="s">
        <v>390</v>
      </c>
      <c r="C180" t="s">
        <v>352</v>
      </c>
      <c r="D180" s="1" t="s">
        <v>17</v>
      </c>
      <c r="E180" t="s">
        <v>18</v>
      </c>
      <c r="F180" t="s">
        <v>391</v>
      </c>
      <c r="G180" t="s">
        <v>19</v>
      </c>
      <c r="H180" t="s">
        <v>290</v>
      </c>
      <c r="I180" s="2">
        <v>45382</v>
      </c>
      <c r="J180" s="2">
        <v>45504</v>
      </c>
    </row>
    <row r="181" spans="1:10" ht="60" hidden="1" x14ac:dyDescent="0.25">
      <c r="A181">
        <v>179</v>
      </c>
      <c r="B181" t="s">
        <v>392</v>
      </c>
      <c r="C181" t="s">
        <v>352</v>
      </c>
      <c r="D181" s="1" t="s">
        <v>17</v>
      </c>
      <c r="E181" t="s">
        <v>18</v>
      </c>
      <c r="F181" t="s">
        <v>393</v>
      </c>
      <c r="G181" t="s">
        <v>19</v>
      </c>
      <c r="H181" t="s">
        <v>290</v>
      </c>
      <c r="I181" s="2">
        <v>45382</v>
      </c>
      <c r="J181" s="2">
        <v>45504</v>
      </c>
    </row>
    <row r="182" spans="1:10" ht="60" hidden="1" x14ac:dyDescent="0.25">
      <c r="A182">
        <v>180</v>
      </c>
      <c r="B182" t="s">
        <v>394</v>
      </c>
      <c r="C182" t="s">
        <v>352</v>
      </c>
      <c r="D182" s="1" t="s">
        <v>17</v>
      </c>
      <c r="E182" t="s">
        <v>18</v>
      </c>
      <c r="F182" t="s">
        <v>395</v>
      </c>
      <c r="G182" t="s">
        <v>19</v>
      </c>
      <c r="H182" t="s">
        <v>290</v>
      </c>
      <c r="I182" s="2">
        <v>45382</v>
      </c>
      <c r="J182" s="2">
        <v>45504</v>
      </c>
    </row>
    <row r="183" spans="1:10" ht="60" hidden="1" x14ac:dyDescent="0.25">
      <c r="A183">
        <v>181</v>
      </c>
      <c r="B183" t="s">
        <v>396</v>
      </c>
      <c r="C183" t="s">
        <v>352</v>
      </c>
      <c r="D183" s="1" t="s">
        <v>17</v>
      </c>
      <c r="E183" t="s">
        <v>18</v>
      </c>
      <c r="F183" t="s">
        <v>397</v>
      </c>
      <c r="G183" t="s">
        <v>19</v>
      </c>
      <c r="H183" t="s">
        <v>290</v>
      </c>
      <c r="I183" s="2">
        <v>45382</v>
      </c>
      <c r="J183" s="2">
        <v>45504</v>
      </c>
    </row>
    <row r="184" spans="1:10" ht="60" hidden="1" x14ac:dyDescent="0.25">
      <c r="A184">
        <v>182</v>
      </c>
      <c r="B184" t="s">
        <v>398</v>
      </c>
      <c r="C184" t="s">
        <v>352</v>
      </c>
      <c r="D184" s="1" t="s">
        <v>17</v>
      </c>
      <c r="E184" t="s">
        <v>18</v>
      </c>
      <c r="F184" t="s">
        <v>399</v>
      </c>
      <c r="G184" t="s">
        <v>19</v>
      </c>
      <c r="H184" t="s">
        <v>290</v>
      </c>
      <c r="I184" s="2">
        <v>45382</v>
      </c>
      <c r="J184" s="2">
        <v>45504</v>
      </c>
    </row>
    <row r="185" spans="1:10" ht="60" hidden="1" x14ac:dyDescent="0.25">
      <c r="A185">
        <v>183</v>
      </c>
      <c r="B185" t="s">
        <v>400</v>
      </c>
      <c r="C185" t="s">
        <v>401</v>
      </c>
      <c r="D185" s="1" t="s">
        <v>17</v>
      </c>
      <c r="E185" t="s">
        <v>18</v>
      </c>
      <c r="F185" t="s">
        <v>402</v>
      </c>
      <c r="G185" t="s">
        <v>19</v>
      </c>
      <c r="H185" t="s">
        <v>290</v>
      </c>
      <c r="I185" s="2">
        <v>45382</v>
      </c>
      <c r="J185" s="2">
        <v>45504</v>
      </c>
    </row>
    <row r="186" spans="1:10" ht="60" hidden="1" x14ac:dyDescent="0.25">
      <c r="A186">
        <v>184</v>
      </c>
      <c r="B186" t="s">
        <v>403</v>
      </c>
      <c r="C186" t="s">
        <v>401</v>
      </c>
      <c r="D186" s="1" t="s">
        <v>17</v>
      </c>
      <c r="E186" t="s">
        <v>18</v>
      </c>
      <c r="F186" t="s">
        <v>404</v>
      </c>
      <c r="G186" t="s">
        <v>19</v>
      </c>
      <c r="H186" t="s">
        <v>290</v>
      </c>
      <c r="I186" s="2">
        <v>45382</v>
      </c>
      <c r="J186" s="2">
        <v>45504</v>
      </c>
    </row>
    <row r="187" spans="1:10" ht="60" hidden="1" x14ac:dyDescent="0.25">
      <c r="A187">
        <v>185</v>
      </c>
      <c r="B187" t="s">
        <v>405</v>
      </c>
      <c r="C187" t="s">
        <v>406</v>
      </c>
      <c r="D187" s="1" t="s">
        <v>17</v>
      </c>
      <c r="E187" t="s">
        <v>18</v>
      </c>
      <c r="F187" t="s">
        <v>407</v>
      </c>
      <c r="G187" t="s">
        <v>19</v>
      </c>
      <c r="H187" t="s">
        <v>290</v>
      </c>
      <c r="I187" s="2">
        <v>45382</v>
      </c>
      <c r="J187" s="2">
        <v>45504</v>
      </c>
    </row>
    <row r="188" spans="1:10" ht="60" hidden="1" x14ac:dyDescent="0.25">
      <c r="A188">
        <v>186</v>
      </c>
      <c r="B188" t="s">
        <v>408</v>
      </c>
      <c r="C188" t="s">
        <v>406</v>
      </c>
      <c r="D188" s="1" t="s">
        <v>17</v>
      </c>
      <c r="E188" t="s">
        <v>18</v>
      </c>
      <c r="F188" t="s">
        <v>409</v>
      </c>
      <c r="G188" t="s">
        <v>19</v>
      </c>
      <c r="H188" t="s">
        <v>290</v>
      </c>
      <c r="I188" s="2">
        <v>45382</v>
      </c>
      <c r="J188" s="2">
        <v>45504</v>
      </c>
    </row>
    <row r="189" spans="1:10" ht="60" hidden="1" x14ac:dyDescent="0.25">
      <c r="A189">
        <v>187</v>
      </c>
      <c r="B189" t="s">
        <v>410</v>
      </c>
      <c r="C189" t="s">
        <v>406</v>
      </c>
      <c r="D189" s="1" t="s">
        <v>17</v>
      </c>
      <c r="E189" t="s">
        <v>18</v>
      </c>
      <c r="F189" t="s">
        <v>411</v>
      </c>
      <c r="G189" t="s">
        <v>19</v>
      </c>
      <c r="H189" t="s">
        <v>290</v>
      </c>
      <c r="I189" s="2">
        <v>45382</v>
      </c>
      <c r="J189" s="2">
        <v>45504</v>
      </c>
    </row>
    <row r="190" spans="1:10" ht="60" hidden="1" x14ac:dyDescent="0.25">
      <c r="A190">
        <v>188</v>
      </c>
      <c r="B190" t="s">
        <v>412</v>
      </c>
      <c r="C190" t="s">
        <v>406</v>
      </c>
      <c r="D190" s="1" t="s">
        <v>17</v>
      </c>
      <c r="E190" t="s">
        <v>18</v>
      </c>
      <c r="F190" t="s">
        <v>413</v>
      </c>
      <c r="G190" t="s">
        <v>19</v>
      </c>
      <c r="H190" t="s">
        <v>290</v>
      </c>
      <c r="I190" s="2">
        <v>45382</v>
      </c>
      <c r="J190" s="2">
        <v>45504</v>
      </c>
    </row>
    <row r="191" spans="1:10" ht="60" hidden="1" x14ac:dyDescent="0.25">
      <c r="A191">
        <v>189</v>
      </c>
      <c r="B191" t="s">
        <v>414</v>
      </c>
      <c r="C191" t="s">
        <v>406</v>
      </c>
      <c r="D191" s="1" t="s">
        <v>17</v>
      </c>
      <c r="E191" t="s">
        <v>18</v>
      </c>
      <c r="F191" t="s">
        <v>415</v>
      </c>
      <c r="G191" t="s">
        <v>19</v>
      </c>
      <c r="H191" t="s">
        <v>290</v>
      </c>
      <c r="I191" s="2">
        <v>45382</v>
      </c>
      <c r="J191" s="2">
        <v>45504</v>
      </c>
    </row>
    <row r="192" spans="1:10" ht="60" hidden="1" x14ac:dyDescent="0.25">
      <c r="A192">
        <v>190</v>
      </c>
      <c r="B192" t="s">
        <v>416</v>
      </c>
      <c r="C192" t="s">
        <v>406</v>
      </c>
      <c r="D192" s="1" t="s">
        <v>17</v>
      </c>
      <c r="E192" t="s">
        <v>18</v>
      </c>
      <c r="F192" t="s">
        <v>417</v>
      </c>
      <c r="G192" t="s">
        <v>19</v>
      </c>
      <c r="H192" t="s">
        <v>290</v>
      </c>
      <c r="I192" s="2">
        <v>45382</v>
      </c>
      <c r="J192" s="2">
        <v>45504</v>
      </c>
    </row>
    <row r="193" spans="1:10" ht="60" x14ac:dyDescent="0.25">
      <c r="A193">
        <v>191</v>
      </c>
      <c r="B193" t="s">
        <v>418</v>
      </c>
      <c r="C193" t="s">
        <v>406</v>
      </c>
      <c r="D193" s="1" t="s">
        <v>11</v>
      </c>
      <c r="E193" t="s">
        <v>12</v>
      </c>
      <c r="F193" t="s">
        <v>419</v>
      </c>
      <c r="G193" t="s">
        <v>13</v>
      </c>
      <c r="H193" t="s">
        <v>290</v>
      </c>
      <c r="I193" t="s">
        <v>559</v>
      </c>
      <c r="J193" t="s">
        <v>559</v>
      </c>
    </row>
    <row r="194" spans="1:10" ht="60" hidden="1" x14ac:dyDescent="0.25">
      <c r="A194">
        <v>192</v>
      </c>
      <c r="B194" t="s">
        <v>420</v>
      </c>
      <c r="C194" t="s">
        <v>421</v>
      </c>
      <c r="D194" s="1" t="s">
        <v>17</v>
      </c>
      <c r="E194" t="s">
        <v>18</v>
      </c>
      <c r="F194" t="s">
        <v>422</v>
      </c>
      <c r="G194" t="s">
        <v>19</v>
      </c>
      <c r="H194" t="s">
        <v>290</v>
      </c>
      <c r="I194" s="2">
        <v>45382</v>
      </c>
      <c r="J194" s="2">
        <v>45504</v>
      </c>
    </row>
    <row r="195" spans="1:10" ht="60" hidden="1" x14ac:dyDescent="0.25">
      <c r="A195">
        <v>193</v>
      </c>
      <c r="B195" t="s">
        <v>423</v>
      </c>
      <c r="C195" t="s">
        <v>421</v>
      </c>
      <c r="D195" s="1" t="s">
        <v>17</v>
      </c>
      <c r="E195" t="s">
        <v>18</v>
      </c>
      <c r="F195" t="s">
        <v>424</v>
      </c>
      <c r="G195" t="s">
        <v>19</v>
      </c>
      <c r="H195" t="s">
        <v>290</v>
      </c>
      <c r="I195" s="2">
        <v>45382</v>
      </c>
      <c r="J195" s="2">
        <v>45504</v>
      </c>
    </row>
    <row r="196" spans="1:10" ht="60" hidden="1" x14ac:dyDescent="0.25">
      <c r="A196">
        <v>194</v>
      </c>
      <c r="B196" t="s">
        <v>425</v>
      </c>
      <c r="C196" t="s">
        <v>421</v>
      </c>
      <c r="D196" s="1" t="s">
        <v>17</v>
      </c>
      <c r="E196" t="s">
        <v>18</v>
      </c>
      <c r="F196" t="s">
        <v>426</v>
      </c>
      <c r="G196" t="s">
        <v>19</v>
      </c>
      <c r="H196" t="s">
        <v>290</v>
      </c>
      <c r="I196" s="2">
        <v>45382</v>
      </c>
      <c r="J196" s="2">
        <v>45504</v>
      </c>
    </row>
    <row r="197" spans="1:10" ht="60" hidden="1" x14ac:dyDescent="0.25">
      <c r="A197">
        <v>195</v>
      </c>
      <c r="B197" t="s">
        <v>427</v>
      </c>
      <c r="C197" t="s">
        <v>421</v>
      </c>
      <c r="D197" s="1" t="s">
        <v>17</v>
      </c>
      <c r="E197" t="s">
        <v>18</v>
      </c>
      <c r="F197" t="s">
        <v>428</v>
      </c>
      <c r="G197" t="s">
        <v>19</v>
      </c>
      <c r="H197" t="s">
        <v>290</v>
      </c>
      <c r="I197" s="2">
        <v>45382</v>
      </c>
      <c r="J197" s="2">
        <v>45504</v>
      </c>
    </row>
    <row r="198" spans="1:10" ht="60" hidden="1" x14ac:dyDescent="0.25">
      <c r="A198">
        <v>196</v>
      </c>
      <c r="B198" t="s">
        <v>429</v>
      </c>
      <c r="C198" t="s">
        <v>421</v>
      </c>
      <c r="D198" s="1" t="s">
        <v>17</v>
      </c>
      <c r="E198" t="s">
        <v>18</v>
      </c>
      <c r="F198" t="s">
        <v>430</v>
      </c>
      <c r="G198" t="s">
        <v>19</v>
      </c>
      <c r="H198" t="s">
        <v>290</v>
      </c>
      <c r="I198" s="2">
        <v>45382</v>
      </c>
      <c r="J198" s="2">
        <v>45504</v>
      </c>
    </row>
    <row r="199" spans="1:10" ht="60" hidden="1" x14ac:dyDescent="0.25">
      <c r="A199">
        <v>197</v>
      </c>
      <c r="B199" t="s">
        <v>431</v>
      </c>
      <c r="C199" t="s">
        <v>421</v>
      </c>
      <c r="D199" s="1" t="s">
        <v>17</v>
      </c>
      <c r="E199" t="s">
        <v>18</v>
      </c>
      <c r="F199" t="s">
        <v>432</v>
      </c>
      <c r="G199" t="s">
        <v>19</v>
      </c>
      <c r="H199" t="s">
        <v>290</v>
      </c>
      <c r="I199" s="2">
        <v>45382</v>
      </c>
      <c r="J199" s="2">
        <v>45504</v>
      </c>
    </row>
    <row r="200" spans="1:10" ht="60" hidden="1" x14ac:dyDescent="0.25">
      <c r="A200">
        <v>198</v>
      </c>
      <c r="B200" t="s">
        <v>433</v>
      </c>
      <c r="C200" t="s">
        <v>421</v>
      </c>
      <c r="D200" s="1" t="s">
        <v>17</v>
      </c>
      <c r="E200" t="s">
        <v>18</v>
      </c>
      <c r="F200" t="s">
        <v>434</v>
      </c>
      <c r="G200" t="s">
        <v>19</v>
      </c>
      <c r="H200" t="s">
        <v>290</v>
      </c>
      <c r="I200" s="2">
        <v>45382</v>
      </c>
      <c r="J200" s="2">
        <v>45504</v>
      </c>
    </row>
    <row r="201" spans="1:10" ht="60" hidden="1" x14ac:dyDescent="0.25">
      <c r="A201">
        <v>199</v>
      </c>
      <c r="B201" t="s">
        <v>435</v>
      </c>
      <c r="C201" t="s">
        <v>421</v>
      </c>
      <c r="D201" s="1" t="s">
        <v>17</v>
      </c>
      <c r="E201" t="s">
        <v>18</v>
      </c>
      <c r="F201" t="s">
        <v>436</v>
      </c>
      <c r="G201" t="s">
        <v>19</v>
      </c>
      <c r="H201" t="s">
        <v>290</v>
      </c>
      <c r="I201" s="2">
        <v>45382</v>
      </c>
      <c r="J201" s="2">
        <v>45504</v>
      </c>
    </row>
    <row r="202" spans="1:10" ht="60" hidden="1" x14ac:dyDescent="0.25">
      <c r="A202">
        <v>200</v>
      </c>
      <c r="B202" t="s">
        <v>437</v>
      </c>
      <c r="C202" t="s">
        <v>421</v>
      </c>
      <c r="D202" s="1" t="s">
        <v>17</v>
      </c>
      <c r="E202" t="s">
        <v>18</v>
      </c>
      <c r="F202" t="s">
        <v>438</v>
      </c>
      <c r="G202" t="s">
        <v>19</v>
      </c>
      <c r="H202" t="s">
        <v>290</v>
      </c>
      <c r="I202" s="2">
        <v>45382</v>
      </c>
      <c r="J202" s="2">
        <v>45504</v>
      </c>
    </row>
    <row r="203" spans="1:10" ht="60" hidden="1" x14ac:dyDescent="0.25">
      <c r="A203">
        <v>201</v>
      </c>
      <c r="B203" t="s">
        <v>439</v>
      </c>
      <c r="C203" t="s">
        <v>421</v>
      </c>
      <c r="D203" s="1" t="s">
        <v>17</v>
      </c>
      <c r="E203" t="s">
        <v>18</v>
      </c>
      <c r="F203" t="s">
        <v>440</v>
      </c>
      <c r="G203" t="s">
        <v>19</v>
      </c>
      <c r="H203" t="s">
        <v>290</v>
      </c>
      <c r="I203" s="2">
        <v>45382</v>
      </c>
      <c r="J203" s="2">
        <v>45504</v>
      </c>
    </row>
    <row r="204" spans="1:10" ht="60" hidden="1" x14ac:dyDescent="0.25">
      <c r="A204">
        <v>202</v>
      </c>
      <c r="B204" t="s">
        <v>441</v>
      </c>
      <c r="C204" t="s">
        <v>421</v>
      </c>
      <c r="D204" s="1" t="s">
        <v>17</v>
      </c>
      <c r="E204" t="s">
        <v>18</v>
      </c>
      <c r="F204" t="s">
        <v>442</v>
      </c>
      <c r="G204" t="s">
        <v>19</v>
      </c>
      <c r="H204" t="s">
        <v>290</v>
      </c>
      <c r="I204" s="2">
        <v>45382</v>
      </c>
      <c r="J204" s="2">
        <v>45504</v>
      </c>
    </row>
    <row r="205" spans="1:10" ht="60" hidden="1" x14ac:dyDescent="0.25">
      <c r="A205">
        <v>203</v>
      </c>
      <c r="B205" t="s">
        <v>443</v>
      </c>
      <c r="C205" t="s">
        <v>421</v>
      </c>
      <c r="D205" s="1" t="s">
        <v>17</v>
      </c>
      <c r="E205" t="s">
        <v>18</v>
      </c>
      <c r="F205" t="s">
        <v>444</v>
      </c>
      <c r="G205" t="s">
        <v>19</v>
      </c>
      <c r="H205" t="s">
        <v>290</v>
      </c>
      <c r="I205" s="2">
        <v>45382</v>
      </c>
      <c r="J205" s="2">
        <v>45504</v>
      </c>
    </row>
    <row r="206" spans="1:10" ht="60" hidden="1" x14ac:dyDescent="0.25">
      <c r="A206">
        <v>204</v>
      </c>
      <c r="B206" t="s">
        <v>445</v>
      </c>
      <c r="C206" t="s">
        <v>421</v>
      </c>
      <c r="D206" s="1" t="s">
        <v>17</v>
      </c>
      <c r="E206" t="s">
        <v>18</v>
      </c>
      <c r="F206" t="s">
        <v>446</v>
      </c>
      <c r="G206" t="s">
        <v>19</v>
      </c>
      <c r="H206" t="s">
        <v>290</v>
      </c>
      <c r="I206" s="2">
        <v>45382</v>
      </c>
      <c r="J206" s="2">
        <v>45504</v>
      </c>
    </row>
    <row r="207" spans="1:10" ht="60" hidden="1" x14ac:dyDescent="0.25">
      <c r="A207">
        <v>205</v>
      </c>
      <c r="B207" t="s">
        <v>447</v>
      </c>
      <c r="C207" t="s">
        <v>421</v>
      </c>
      <c r="D207" s="1" t="s">
        <v>17</v>
      </c>
      <c r="E207" t="s">
        <v>18</v>
      </c>
      <c r="F207" t="s">
        <v>448</v>
      </c>
      <c r="G207" t="s">
        <v>19</v>
      </c>
      <c r="H207" t="s">
        <v>290</v>
      </c>
      <c r="I207" s="2">
        <v>45382</v>
      </c>
      <c r="J207" s="2">
        <v>45504</v>
      </c>
    </row>
    <row r="208" spans="1:10" ht="60" hidden="1" x14ac:dyDescent="0.25">
      <c r="A208">
        <v>206</v>
      </c>
      <c r="B208" t="s">
        <v>449</v>
      </c>
      <c r="C208" t="s">
        <v>421</v>
      </c>
      <c r="D208" s="1" t="s">
        <v>17</v>
      </c>
      <c r="E208" t="s">
        <v>18</v>
      </c>
      <c r="F208" t="s">
        <v>450</v>
      </c>
      <c r="G208" t="s">
        <v>19</v>
      </c>
      <c r="H208" t="s">
        <v>290</v>
      </c>
      <c r="I208" s="2">
        <v>45382</v>
      </c>
      <c r="J208" s="2">
        <v>45504</v>
      </c>
    </row>
    <row r="209" spans="1:10" ht="60" hidden="1" x14ac:dyDescent="0.25">
      <c r="A209">
        <v>207</v>
      </c>
      <c r="B209" t="s">
        <v>451</v>
      </c>
      <c r="C209" t="s">
        <v>421</v>
      </c>
      <c r="D209" s="1" t="s">
        <v>17</v>
      </c>
      <c r="E209" t="s">
        <v>18</v>
      </c>
      <c r="F209" t="s">
        <v>452</v>
      </c>
      <c r="G209" t="s">
        <v>19</v>
      </c>
      <c r="H209" t="s">
        <v>290</v>
      </c>
      <c r="I209" s="2">
        <v>45382</v>
      </c>
      <c r="J209" s="2">
        <v>45504</v>
      </c>
    </row>
    <row r="210" spans="1:10" ht="60" hidden="1" x14ac:dyDescent="0.25">
      <c r="A210">
        <v>208</v>
      </c>
      <c r="B210" t="s">
        <v>453</v>
      </c>
      <c r="C210" t="s">
        <v>421</v>
      </c>
      <c r="D210" s="1" t="s">
        <v>17</v>
      </c>
      <c r="E210" t="s">
        <v>18</v>
      </c>
      <c r="F210" t="s">
        <v>454</v>
      </c>
      <c r="G210" t="s">
        <v>19</v>
      </c>
      <c r="H210" t="s">
        <v>290</v>
      </c>
      <c r="I210" s="2">
        <v>45382</v>
      </c>
      <c r="J210" s="2">
        <v>45504</v>
      </c>
    </row>
    <row r="211" spans="1:10" ht="60" hidden="1" x14ac:dyDescent="0.25">
      <c r="A211">
        <v>209</v>
      </c>
      <c r="B211" t="s">
        <v>455</v>
      </c>
      <c r="C211" t="s">
        <v>421</v>
      </c>
      <c r="D211" s="1" t="s">
        <v>17</v>
      </c>
      <c r="E211" t="s">
        <v>18</v>
      </c>
      <c r="F211" t="s">
        <v>456</v>
      </c>
      <c r="G211" t="s">
        <v>19</v>
      </c>
      <c r="H211" t="s">
        <v>290</v>
      </c>
      <c r="I211" s="2">
        <v>45382</v>
      </c>
      <c r="J211" s="2">
        <v>45504</v>
      </c>
    </row>
    <row r="212" spans="1:10" ht="60" hidden="1" x14ac:dyDescent="0.25">
      <c r="A212">
        <v>210</v>
      </c>
      <c r="B212" t="s">
        <v>457</v>
      </c>
      <c r="C212" t="s">
        <v>421</v>
      </c>
      <c r="D212" s="1" t="s">
        <v>17</v>
      </c>
      <c r="E212" t="s">
        <v>18</v>
      </c>
      <c r="F212" t="s">
        <v>458</v>
      </c>
      <c r="G212" t="s">
        <v>19</v>
      </c>
      <c r="H212" t="s">
        <v>290</v>
      </c>
      <c r="I212" s="2">
        <v>45382</v>
      </c>
      <c r="J212" s="2">
        <v>45504</v>
      </c>
    </row>
    <row r="213" spans="1:10" ht="60" hidden="1" x14ac:dyDescent="0.25">
      <c r="A213">
        <v>211</v>
      </c>
      <c r="B213" t="s">
        <v>459</v>
      </c>
      <c r="C213" t="s">
        <v>421</v>
      </c>
      <c r="D213" s="1" t="s">
        <v>17</v>
      </c>
      <c r="E213" t="s">
        <v>18</v>
      </c>
      <c r="F213" t="s">
        <v>460</v>
      </c>
      <c r="G213" t="s">
        <v>19</v>
      </c>
      <c r="H213" t="s">
        <v>290</v>
      </c>
      <c r="I213" s="2">
        <v>45382</v>
      </c>
      <c r="J213" s="2">
        <v>45504</v>
      </c>
    </row>
    <row r="214" spans="1:10" ht="60" hidden="1" x14ac:dyDescent="0.25">
      <c r="A214">
        <v>212</v>
      </c>
      <c r="B214" t="s">
        <v>461</v>
      </c>
      <c r="C214" t="s">
        <v>421</v>
      </c>
      <c r="D214" s="1" t="s">
        <v>17</v>
      </c>
      <c r="E214" t="s">
        <v>18</v>
      </c>
      <c r="F214" t="s">
        <v>462</v>
      </c>
      <c r="G214" t="s">
        <v>19</v>
      </c>
      <c r="H214" t="s">
        <v>290</v>
      </c>
      <c r="I214" s="2">
        <v>45382</v>
      </c>
      <c r="J214" s="2">
        <v>45504</v>
      </c>
    </row>
    <row r="215" spans="1:10" ht="60" hidden="1" x14ac:dyDescent="0.25">
      <c r="A215">
        <v>213</v>
      </c>
      <c r="B215" t="s">
        <v>463</v>
      </c>
      <c r="C215" t="s">
        <v>421</v>
      </c>
      <c r="D215" s="1" t="s">
        <v>17</v>
      </c>
      <c r="E215" t="s">
        <v>18</v>
      </c>
      <c r="F215" t="s">
        <v>464</v>
      </c>
      <c r="G215" t="s">
        <v>19</v>
      </c>
      <c r="H215" t="s">
        <v>290</v>
      </c>
      <c r="I215" s="2">
        <v>45382</v>
      </c>
      <c r="J215" s="2">
        <v>45504</v>
      </c>
    </row>
    <row r="216" spans="1:10" ht="60" hidden="1" x14ac:dyDescent="0.25">
      <c r="A216">
        <v>214</v>
      </c>
      <c r="B216" t="s">
        <v>465</v>
      </c>
      <c r="C216" t="s">
        <v>466</v>
      </c>
      <c r="D216" s="1" t="s">
        <v>17</v>
      </c>
      <c r="E216" t="s">
        <v>18</v>
      </c>
      <c r="F216" t="s">
        <v>467</v>
      </c>
      <c r="G216" t="s">
        <v>19</v>
      </c>
      <c r="H216" t="s">
        <v>290</v>
      </c>
      <c r="I216" s="2">
        <v>45382</v>
      </c>
      <c r="J216" s="2">
        <v>45504</v>
      </c>
    </row>
    <row r="217" spans="1:10" ht="60" hidden="1" x14ac:dyDescent="0.25">
      <c r="A217">
        <v>215</v>
      </c>
      <c r="B217" t="s">
        <v>468</v>
      </c>
      <c r="C217" t="s">
        <v>466</v>
      </c>
      <c r="D217" s="1" t="s">
        <v>17</v>
      </c>
      <c r="E217" t="s">
        <v>18</v>
      </c>
      <c r="F217" t="s">
        <v>469</v>
      </c>
      <c r="G217" t="s">
        <v>19</v>
      </c>
      <c r="H217" t="s">
        <v>290</v>
      </c>
      <c r="I217" s="2">
        <v>45382</v>
      </c>
      <c r="J217" s="2">
        <v>45504</v>
      </c>
    </row>
    <row r="218" spans="1:10" ht="60" hidden="1" x14ac:dyDescent="0.25">
      <c r="A218">
        <v>216</v>
      </c>
      <c r="B218" t="s">
        <v>470</v>
      </c>
      <c r="C218" t="s">
        <v>471</v>
      </c>
      <c r="D218" s="1" t="s">
        <v>17</v>
      </c>
      <c r="E218" t="s">
        <v>18</v>
      </c>
      <c r="F218" t="s">
        <v>472</v>
      </c>
      <c r="G218" t="s">
        <v>19</v>
      </c>
      <c r="H218" t="s">
        <v>290</v>
      </c>
      <c r="I218" s="2">
        <v>45382</v>
      </c>
      <c r="J218" s="2">
        <v>45504</v>
      </c>
    </row>
    <row r="219" spans="1:10" ht="60" x14ac:dyDescent="0.25">
      <c r="A219">
        <v>217</v>
      </c>
      <c r="B219" t="s">
        <v>473</v>
      </c>
      <c r="C219" t="s">
        <v>474</v>
      </c>
      <c r="D219" s="1" t="s">
        <v>11</v>
      </c>
      <c r="E219" t="s">
        <v>12</v>
      </c>
      <c r="F219" t="s">
        <v>475</v>
      </c>
      <c r="G219" t="s">
        <v>13</v>
      </c>
      <c r="H219" t="s">
        <v>290</v>
      </c>
      <c r="I219" t="s">
        <v>559</v>
      </c>
      <c r="J219" t="s">
        <v>559</v>
      </c>
    </row>
    <row r="220" spans="1:10" ht="60" x14ac:dyDescent="0.25">
      <c r="A220">
        <v>218</v>
      </c>
      <c r="B220" t="s">
        <v>476</v>
      </c>
      <c r="C220" t="s">
        <v>474</v>
      </c>
      <c r="D220" s="1" t="s">
        <v>11</v>
      </c>
      <c r="E220" t="s">
        <v>12</v>
      </c>
      <c r="F220" t="s">
        <v>477</v>
      </c>
      <c r="G220" t="s">
        <v>13</v>
      </c>
      <c r="H220" t="s">
        <v>290</v>
      </c>
      <c r="I220" t="s">
        <v>559</v>
      </c>
      <c r="J220" t="s">
        <v>559</v>
      </c>
    </row>
    <row r="221" spans="1:10" ht="60" hidden="1" x14ac:dyDescent="0.25">
      <c r="A221">
        <v>219</v>
      </c>
      <c r="B221" t="s">
        <v>478</v>
      </c>
      <c r="C221" t="s">
        <v>479</v>
      </c>
      <c r="D221" s="1" t="s">
        <v>17</v>
      </c>
      <c r="E221" t="s">
        <v>18</v>
      </c>
      <c r="F221" t="s">
        <v>480</v>
      </c>
      <c r="G221" t="s">
        <v>19</v>
      </c>
      <c r="H221" t="s">
        <v>290</v>
      </c>
      <c r="I221" s="2">
        <v>45382</v>
      </c>
      <c r="J221" s="2">
        <v>45504</v>
      </c>
    </row>
    <row r="222" spans="1:10" ht="60" hidden="1" x14ac:dyDescent="0.25">
      <c r="A222">
        <v>220</v>
      </c>
      <c r="B222" t="s">
        <v>481</v>
      </c>
      <c r="C222" t="s">
        <v>482</v>
      </c>
      <c r="D222" s="1" t="s">
        <v>17</v>
      </c>
      <c r="E222" t="s">
        <v>18</v>
      </c>
      <c r="F222" t="s">
        <v>483</v>
      </c>
      <c r="G222" t="s">
        <v>19</v>
      </c>
      <c r="H222" t="s">
        <v>290</v>
      </c>
      <c r="I222" s="2">
        <v>45382</v>
      </c>
      <c r="J222" s="2">
        <v>45504</v>
      </c>
    </row>
    <row r="223" spans="1:10" ht="60" hidden="1" x14ac:dyDescent="0.25">
      <c r="A223">
        <v>221</v>
      </c>
      <c r="B223" t="s">
        <v>484</v>
      </c>
      <c r="C223" t="s">
        <v>482</v>
      </c>
      <c r="D223" s="1" t="s">
        <v>17</v>
      </c>
      <c r="E223" t="s">
        <v>18</v>
      </c>
      <c r="F223" t="s">
        <v>485</v>
      </c>
      <c r="G223" t="s">
        <v>19</v>
      </c>
      <c r="H223" t="s">
        <v>290</v>
      </c>
      <c r="I223" s="2">
        <v>45382</v>
      </c>
      <c r="J223" s="2">
        <v>45504</v>
      </c>
    </row>
    <row r="224" spans="1:10" ht="60" hidden="1" x14ac:dyDescent="0.25">
      <c r="A224">
        <v>222</v>
      </c>
      <c r="B224" t="s">
        <v>486</v>
      </c>
      <c r="C224" t="s">
        <v>487</v>
      </c>
      <c r="D224" s="1" t="s">
        <v>17</v>
      </c>
      <c r="E224" t="s">
        <v>18</v>
      </c>
      <c r="F224" t="s">
        <v>488</v>
      </c>
      <c r="G224" t="s">
        <v>19</v>
      </c>
      <c r="H224" t="s">
        <v>290</v>
      </c>
      <c r="I224" s="2">
        <v>45382</v>
      </c>
      <c r="J224" s="2">
        <v>45504</v>
      </c>
    </row>
    <row r="225" spans="1:10" ht="60" hidden="1" x14ac:dyDescent="0.25">
      <c r="A225">
        <v>223</v>
      </c>
      <c r="B225" t="s">
        <v>489</v>
      </c>
      <c r="C225" t="s">
        <v>487</v>
      </c>
      <c r="D225" s="1" t="s">
        <v>17</v>
      </c>
      <c r="E225" t="s">
        <v>18</v>
      </c>
      <c r="F225" t="s">
        <v>490</v>
      </c>
      <c r="G225" t="s">
        <v>19</v>
      </c>
      <c r="H225" t="s">
        <v>290</v>
      </c>
      <c r="I225" s="2">
        <v>45382</v>
      </c>
      <c r="J225" s="2">
        <v>45504</v>
      </c>
    </row>
    <row r="226" spans="1:10" ht="60" hidden="1" x14ac:dyDescent="0.25">
      <c r="A226">
        <v>224</v>
      </c>
      <c r="B226" t="s">
        <v>491</v>
      </c>
      <c r="C226" t="s">
        <v>487</v>
      </c>
      <c r="D226" s="1" t="s">
        <v>17</v>
      </c>
      <c r="E226" t="s">
        <v>18</v>
      </c>
      <c r="F226" t="s">
        <v>492</v>
      </c>
      <c r="G226" t="s">
        <v>19</v>
      </c>
      <c r="H226" t="s">
        <v>290</v>
      </c>
      <c r="I226" s="2">
        <v>45382</v>
      </c>
      <c r="J226" s="2">
        <v>45504</v>
      </c>
    </row>
    <row r="227" spans="1:10" ht="60" hidden="1" x14ac:dyDescent="0.25">
      <c r="A227">
        <v>225</v>
      </c>
      <c r="B227" t="s">
        <v>493</v>
      </c>
      <c r="C227" t="s">
        <v>494</v>
      </c>
      <c r="D227" s="1" t="s">
        <v>17</v>
      </c>
      <c r="E227" t="s">
        <v>18</v>
      </c>
      <c r="F227" t="s">
        <v>495</v>
      </c>
      <c r="G227" t="s">
        <v>19</v>
      </c>
      <c r="H227" t="s">
        <v>290</v>
      </c>
      <c r="I227" s="2">
        <v>45382</v>
      </c>
      <c r="J227" s="2">
        <v>45504</v>
      </c>
    </row>
    <row r="228" spans="1:10" ht="60" hidden="1" x14ac:dyDescent="0.25">
      <c r="A228">
        <v>226</v>
      </c>
      <c r="B228" t="s">
        <v>496</v>
      </c>
      <c r="C228" t="s">
        <v>494</v>
      </c>
      <c r="D228" s="1" t="s">
        <v>17</v>
      </c>
      <c r="E228" t="s">
        <v>18</v>
      </c>
      <c r="F228" t="s">
        <v>497</v>
      </c>
      <c r="G228" t="s">
        <v>19</v>
      </c>
      <c r="H228" t="s">
        <v>290</v>
      </c>
      <c r="I228" s="2">
        <v>45382</v>
      </c>
      <c r="J228" s="2">
        <v>45504</v>
      </c>
    </row>
    <row r="229" spans="1:10" ht="60" hidden="1" x14ac:dyDescent="0.25">
      <c r="A229">
        <v>227</v>
      </c>
      <c r="B229" t="s">
        <v>498</v>
      </c>
      <c r="C229" t="s">
        <v>494</v>
      </c>
      <c r="D229" s="1" t="s">
        <v>17</v>
      </c>
      <c r="E229" t="s">
        <v>18</v>
      </c>
      <c r="F229" t="s">
        <v>499</v>
      </c>
      <c r="G229" t="s">
        <v>19</v>
      </c>
      <c r="H229" t="s">
        <v>290</v>
      </c>
      <c r="I229" s="2">
        <v>45382</v>
      </c>
      <c r="J229" s="2">
        <v>45504</v>
      </c>
    </row>
    <row r="230" spans="1:10" ht="60" hidden="1" x14ac:dyDescent="0.25">
      <c r="A230">
        <v>228</v>
      </c>
      <c r="B230" t="s">
        <v>500</v>
      </c>
      <c r="C230" t="s">
        <v>494</v>
      </c>
      <c r="D230" s="1" t="s">
        <v>17</v>
      </c>
      <c r="E230" t="s">
        <v>18</v>
      </c>
      <c r="F230" t="s">
        <v>501</v>
      </c>
      <c r="G230" t="s">
        <v>19</v>
      </c>
      <c r="H230" t="s">
        <v>290</v>
      </c>
      <c r="I230" s="2">
        <v>45382</v>
      </c>
      <c r="J230" s="2">
        <v>45504</v>
      </c>
    </row>
    <row r="231" spans="1:10" ht="60" hidden="1" x14ac:dyDescent="0.25">
      <c r="A231">
        <v>229</v>
      </c>
      <c r="B231" t="s">
        <v>502</v>
      </c>
      <c r="C231" t="s">
        <v>494</v>
      </c>
      <c r="D231" s="1" t="s">
        <v>17</v>
      </c>
      <c r="E231" t="s">
        <v>18</v>
      </c>
      <c r="F231" t="s">
        <v>503</v>
      </c>
      <c r="G231" t="s">
        <v>19</v>
      </c>
      <c r="H231" t="s">
        <v>290</v>
      </c>
      <c r="I231" s="2">
        <v>45382</v>
      </c>
      <c r="J231" s="2">
        <v>45504</v>
      </c>
    </row>
    <row r="232" spans="1:10" ht="60" hidden="1" x14ac:dyDescent="0.25">
      <c r="A232">
        <v>230</v>
      </c>
      <c r="B232" t="s">
        <v>504</v>
      </c>
      <c r="C232" t="s">
        <v>494</v>
      </c>
      <c r="D232" s="1" t="s">
        <v>17</v>
      </c>
      <c r="E232" t="s">
        <v>18</v>
      </c>
      <c r="F232" t="s">
        <v>505</v>
      </c>
      <c r="G232" t="s">
        <v>19</v>
      </c>
      <c r="H232" t="s">
        <v>290</v>
      </c>
      <c r="I232" s="2">
        <v>45382</v>
      </c>
      <c r="J232" s="2">
        <v>45504</v>
      </c>
    </row>
    <row r="233" spans="1:10" ht="60" hidden="1" x14ac:dyDescent="0.25">
      <c r="A233">
        <v>231</v>
      </c>
      <c r="B233" t="s">
        <v>506</v>
      </c>
      <c r="C233" t="s">
        <v>507</v>
      </c>
      <c r="D233" s="1" t="s">
        <v>17</v>
      </c>
      <c r="E233" t="s">
        <v>18</v>
      </c>
      <c r="F233" t="s">
        <v>508</v>
      </c>
      <c r="G233" t="s">
        <v>19</v>
      </c>
      <c r="H233" t="s">
        <v>290</v>
      </c>
      <c r="I233" s="2">
        <v>45382</v>
      </c>
      <c r="J233" s="2">
        <v>45504</v>
      </c>
    </row>
    <row r="234" spans="1:10" ht="60" hidden="1" x14ac:dyDescent="0.25">
      <c r="A234">
        <v>232</v>
      </c>
      <c r="B234" t="s">
        <v>509</v>
      </c>
      <c r="C234" t="s">
        <v>507</v>
      </c>
      <c r="D234" s="1" t="s">
        <v>17</v>
      </c>
      <c r="E234" t="s">
        <v>18</v>
      </c>
      <c r="F234" t="s">
        <v>510</v>
      </c>
      <c r="G234" t="s">
        <v>19</v>
      </c>
      <c r="H234" t="s">
        <v>290</v>
      </c>
      <c r="I234" s="2">
        <v>45382</v>
      </c>
      <c r="J234" s="2">
        <v>45504</v>
      </c>
    </row>
    <row r="235" spans="1:10" ht="60" hidden="1" x14ac:dyDescent="0.25">
      <c r="A235">
        <v>233</v>
      </c>
      <c r="B235" t="s">
        <v>511</v>
      </c>
      <c r="C235" t="s">
        <v>512</v>
      </c>
      <c r="D235" s="1" t="s">
        <v>17</v>
      </c>
      <c r="E235" t="s">
        <v>18</v>
      </c>
      <c r="F235" t="s">
        <v>513</v>
      </c>
      <c r="G235" t="s">
        <v>19</v>
      </c>
      <c r="H235" t="s">
        <v>290</v>
      </c>
      <c r="I235" s="2">
        <v>45382</v>
      </c>
      <c r="J235" s="2">
        <v>45504</v>
      </c>
    </row>
    <row r="236" spans="1:10" ht="60" hidden="1" x14ac:dyDescent="0.25">
      <c r="A236">
        <v>234</v>
      </c>
      <c r="B236" t="s">
        <v>514</v>
      </c>
      <c r="C236" t="s">
        <v>512</v>
      </c>
      <c r="D236" s="1" t="s">
        <v>17</v>
      </c>
      <c r="E236" t="s">
        <v>18</v>
      </c>
      <c r="F236" t="s">
        <v>515</v>
      </c>
      <c r="G236" t="s">
        <v>19</v>
      </c>
      <c r="H236" t="s">
        <v>290</v>
      </c>
      <c r="I236" s="2">
        <v>45382</v>
      </c>
      <c r="J236" s="2">
        <v>45504</v>
      </c>
    </row>
    <row r="237" spans="1:10" ht="60" hidden="1" x14ac:dyDescent="0.25">
      <c r="A237">
        <v>235</v>
      </c>
      <c r="B237" t="s">
        <v>516</v>
      </c>
      <c r="C237" t="s">
        <v>512</v>
      </c>
      <c r="D237" s="1" t="s">
        <v>17</v>
      </c>
      <c r="E237" t="s">
        <v>18</v>
      </c>
      <c r="F237" t="s">
        <v>517</v>
      </c>
      <c r="G237" t="s">
        <v>19</v>
      </c>
      <c r="H237" t="s">
        <v>290</v>
      </c>
      <c r="I237" s="2">
        <v>45382</v>
      </c>
      <c r="J237" s="2">
        <v>45504</v>
      </c>
    </row>
    <row r="238" spans="1:10" ht="60" hidden="1" x14ac:dyDescent="0.25">
      <c r="A238">
        <v>236</v>
      </c>
      <c r="B238" t="s">
        <v>518</v>
      </c>
      <c r="C238" t="s">
        <v>512</v>
      </c>
      <c r="D238" s="1" t="s">
        <v>17</v>
      </c>
      <c r="E238" t="s">
        <v>18</v>
      </c>
      <c r="F238" t="s">
        <v>519</v>
      </c>
      <c r="G238" t="s">
        <v>19</v>
      </c>
      <c r="H238" t="s">
        <v>290</v>
      </c>
      <c r="I238" s="2">
        <v>45382</v>
      </c>
      <c r="J238" s="2">
        <v>45504</v>
      </c>
    </row>
    <row r="239" spans="1:10" ht="60" hidden="1" x14ac:dyDescent="0.25">
      <c r="A239">
        <v>237</v>
      </c>
      <c r="B239" t="s">
        <v>520</v>
      </c>
      <c r="C239" t="s">
        <v>521</v>
      </c>
      <c r="D239" s="1" t="s">
        <v>17</v>
      </c>
      <c r="E239" t="s">
        <v>18</v>
      </c>
      <c r="F239" t="s">
        <v>522</v>
      </c>
      <c r="G239" t="s">
        <v>19</v>
      </c>
      <c r="H239" t="s">
        <v>290</v>
      </c>
      <c r="I239" s="2">
        <v>45382</v>
      </c>
      <c r="J239" s="2">
        <v>45504</v>
      </c>
    </row>
    <row r="240" spans="1:10" ht="60" hidden="1" x14ac:dyDescent="0.25">
      <c r="A240">
        <v>238</v>
      </c>
      <c r="B240" t="s">
        <v>523</v>
      </c>
      <c r="C240" t="s">
        <v>521</v>
      </c>
      <c r="D240" s="1" t="s">
        <v>17</v>
      </c>
      <c r="E240" t="s">
        <v>18</v>
      </c>
      <c r="F240" t="s">
        <v>524</v>
      </c>
      <c r="G240" t="s">
        <v>19</v>
      </c>
      <c r="H240" t="s">
        <v>290</v>
      </c>
      <c r="I240" s="2">
        <v>45382</v>
      </c>
      <c r="J240" s="2">
        <v>45504</v>
      </c>
    </row>
    <row r="241" spans="1:10" ht="60" x14ac:dyDescent="0.25">
      <c r="A241">
        <v>239</v>
      </c>
      <c r="B241" t="s">
        <v>525</v>
      </c>
      <c r="C241" t="s">
        <v>526</v>
      </c>
      <c r="D241" s="1" t="s">
        <v>11</v>
      </c>
      <c r="E241" t="s">
        <v>12</v>
      </c>
      <c r="F241" t="s">
        <v>527</v>
      </c>
      <c r="G241" t="s">
        <v>13</v>
      </c>
      <c r="H241" t="s">
        <v>290</v>
      </c>
      <c r="I241" t="s">
        <v>559</v>
      </c>
      <c r="J241" t="s">
        <v>559</v>
      </c>
    </row>
    <row r="242" spans="1:10" ht="60" hidden="1" x14ac:dyDescent="0.25">
      <c r="A242">
        <v>240</v>
      </c>
      <c r="B242" t="s">
        <v>528</v>
      </c>
      <c r="C242" t="s">
        <v>529</v>
      </c>
      <c r="D242" s="1" t="s">
        <v>17</v>
      </c>
      <c r="E242" t="s">
        <v>18</v>
      </c>
      <c r="F242" t="s">
        <v>530</v>
      </c>
      <c r="G242" t="s">
        <v>19</v>
      </c>
      <c r="H242" t="s">
        <v>290</v>
      </c>
      <c r="I242" s="2">
        <v>45382</v>
      </c>
      <c r="J242" s="2">
        <v>45504</v>
      </c>
    </row>
    <row r="243" spans="1:10" ht="60" hidden="1" x14ac:dyDescent="0.25">
      <c r="A243">
        <v>241</v>
      </c>
      <c r="B243" t="s">
        <v>531</v>
      </c>
      <c r="C243" t="s">
        <v>529</v>
      </c>
      <c r="D243" s="1" t="s">
        <v>17</v>
      </c>
      <c r="E243" t="s">
        <v>18</v>
      </c>
      <c r="F243" t="s">
        <v>532</v>
      </c>
      <c r="G243" t="s">
        <v>19</v>
      </c>
      <c r="H243" t="s">
        <v>290</v>
      </c>
      <c r="I243" s="2">
        <v>45382</v>
      </c>
      <c r="J243" s="2">
        <v>45504</v>
      </c>
    </row>
    <row r="244" spans="1:10" ht="60" hidden="1" x14ac:dyDescent="0.25">
      <c r="A244">
        <v>242</v>
      </c>
      <c r="B244" t="s">
        <v>533</v>
      </c>
      <c r="C244" t="s">
        <v>534</v>
      </c>
      <c r="D244" s="1" t="s">
        <v>17</v>
      </c>
      <c r="E244" t="s">
        <v>18</v>
      </c>
      <c r="F244" t="s">
        <v>535</v>
      </c>
      <c r="G244" t="s">
        <v>19</v>
      </c>
      <c r="H244" t="s">
        <v>290</v>
      </c>
      <c r="I244" s="2">
        <v>45382</v>
      </c>
      <c r="J244" s="2">
        <v>45504</v>
      </c>
    </row>
    <row r="245" spans="1:10" ht="60" hidden="1" x14ac:dyDescent="0.25">
      <c r="A245">
        <v>243</v>
      </c>
      <c r="B245" t="s">
        <v>536</v>
      </c>
      <c r="C245" t="s">
        <v>534</v>
      </c>
      <c r="D245" s="1" t="s">
        <v>17</v>
      </c>
      <c r="E245" t="s">
        <v>18</v>
      </c>
      <c r="F245" t="s">
        <v>537</v>
      </c>
      <c r="G245" t="s">
        <v>19</v>
      </c>
      <c r="H245" t="s">
        <v>290</v>
      </c>
      <c r="I245" s="2">
        <v>45382</v>
      </c>
      <c r="J245" s="2">
        <v>45504</v>
      </c>
    </row>
    <row r="246" spans="1:10" ht="60" hidden="1" x14ac:dyDescent="0.25">
      <c r="A246">
        <v>244</v>
      </c>
      <c r="B246" t="s">
        <v>538</v>
      </c>
      <c r="C246" t="s">
        <v>539</v>
      </c>
      <c r="D246" s="1" t="s">
        <v>17</v>
      </c>
      <c r="E246" t="s">
        <v>18</v>
      </c>
      <c r="F246" t="s">
        <v>540</v>
      </c>
      <c r="G246" t="s">
        <v>19</v>
      </c>
      <c r="H246" t="s">
        <v>290</v>
      </c>
      <c r="I246" s="2">
        <v>45382</v>
      </c>
      <c r="J246" s="2">
        <v>45504</v>
      </c>
    </row>
    <row r="247" spans="1:10" ht="60" hidden="1" x14ac:dyDescent="0.25">
      <c r="A247">
        <v>245</v>
      </c>
      <c r="B247" t="s">
        <v>541</v>
      </c>
      <c r="C247" t="s">
        <v>539</v>
      </c>
      <c r="D247" s="1" t="s">
        <v>17</v>
      </c>
      <c r="E247" t="s">
        <v>18</v>
      </c>
      <c r="F247" t="s">
        <v>542</v>
      </c>
      <c r="G247" t="s">
        <v>19</v>
      </c>
      <c r="H247" t="s">
        <v>290</v>
      </c>
      <c r="I247" s="2">
        <v>45382</v>
      </c>
      <c r="J247" s="2">
        <v>45504</v>
      </c>
    </row>
    <row r="248" spans="1:10" ht="60" hidden="1" x14ac:dyDescent="0.25">
      <c r="A248">
        <v>246</v>
      </c>
      <c r="B248" t="s">
        <v>543</v>
      </c>
      <c r="C248" t="s">
        <v>539</v>
      </c>
      <c r="D248" s="1" t="s">
        <v>17</v>
      </c>
      <c r="E248" t="s">
        <v>18</v>
      </c>
      <c r="F248" t="s">
        <v>544</v>
      </c>
      <c r="G248" t="s">
        <v>19</v>
      </c>
      <c r="H248" t="s">
        <v>290</v>
      </c>
      <c r="I248" s="2">
        <v>45382</v>
      </c>
      <c r="J248" s="2">
        <v>45504</v>
      </c>
    </row>
    <row r="249" spans="1:10" ht="60" hidden="1" x14ac:dyDescent="0.25">
      <c r="A249">
        <v>247</v>
      </c>
      <c r="B249" t="s">
        <v>545</v>
      </c>
      <c r="C249" t="s">
        <v>539</v>
      </c>
      <c r="D249" s="1" t="s">
        <v>17</v>
      </c>
      <c r="E249" t="s">
        <v>18</v>
      </c>
      <c r="F249" t="s">
        <v>546</v>
      </c>
      <c r="G249" t="s">
        <v>19</v>
      </c>
      <c r="H249" t="s">
        <v>290</v>
      </c>
      <c r="I249" s="2">
        <v>45382</v>
      </c>
      <c r="J249" s="2">
        <v>45504</v>
      </c>
    </row>
    <row r="250" spans="1:10" ht="60" hidden="1" x14ac:dyDescent="0.25">
      <c r="A250">
        <v>248</v>
      </c>
      <c r="B250" t="s">
        <v>547</v>
      </c>
      <c r="C250" t="s">
        <v>539</v>
      </c>
      <c r="D250" s="1" t="s">
        <v>17</v>
      </c>
      <c r="E250" t="s">
        <v>18</v>
      </c>
      <c r="F250" t="s">
        <v>548</v>
      </c>
      <c r="G250" t="s">
        <v>19</v>
      </c>
      <c r="H250" t="s">
        <v>290</v>
      </c>
      <c r="I250" s="2">
        <v>45382</v>
      </c>
      <c r="J250" s="2">
        <v>45504</v>
      </c>
    </row>
    <row r="251" spans="1:10" ht="60" hidden="1" x14ac:dyDescent="0.25">
      <c r="A251">
        <v>249</v>
      </c>
      <c r="B251" t="s">
        <v>549</v>
      </c>
      <c r="C251" t="s">
        <v>539</v>
      </c>
      <c r="D251" s="1" t="s">
        <v>17</v>
      </c>
      <c r="E251" t="s">
        <v>18</v>
      </c>
      <c r="F251" t="s">
        <v>550</v>
      </c>
      <c r="G251" t="s">
        <v>19</v>
      </c>
      <c r="H251" t="s">
        <v>290</v>
      </c>
      <c r="I251" s="2">
        <v>45382</v>
      </c>
      <c r="J251" s="2">
        <v>45504</v>
      </c>
    </row>
    <row r="252" spans="1:10" ht="60" hidden="1" x14ac:dyDescent="0.25">
      <c r="A252">
        <v>250</v>
      </c>
      <c r="B252" t="s">
        <v>551</v>
      </c>
      <c r="C252" t="s">
        <v>539</v>
      </c>
      <c r="D252" s="1" t="s">
        <v>17</v>
      </c>
      <c r="E252" t="s">
        <v>18</v>
      </c>
      <c r="F252" t="s">
        <v>552</v>
      </c>
      <c r="G252" t="s">
        <v>19</v>
      </c>
      <c r="H252" t="s">
        <v>290</v>
      </c>
      <c r="I252" s="2">
        <v>45382</v>
      </c>
      <c r="J252" s="2">
        <v>45504</v>
      </c>
    </row>
    <row r="253" spans="1:10" ht="60" hidden="1" x14ac:dyDescent="0.25">
      <c r="A253">
        <v>251</v>
      </c>
      <c r="B253" t="s">
        <v>553</v>
      </c>
      <c r="C253" t="s">
        <v>539</v>
      </c>
      <c r="D253" s="1" t="s">
        <v>17</v>
      </c>
      <c r="E253" t="s">
        <v>18</v>
      </c>
      <c r="F253" t="s">
        <v>554</v>
      </c>
      <c r="G253" t="s">
        <v>19</v>
      </c>
      <c r="H253" t="s">
        <v>290</v>
      </c>
      <c r="I253" s="2">
        <v>45382</v>
      </c>
      <c r="J253" s="2">
        <v>45504</v>
      </c>
    </row>
    <row r="254" spans="1:10" ht="60" hidden="1" x14ac:dyDescent="0.25">
      <c r="A254">
        <v>252</v>
      </c>
      <c r="B254" t="s">
        <v>555</v>
      </c>
      <c r="C254" t="s">
        <v>539</v>
      </c>
      <c r="D254" s="1" t="s">
        <v>17</v>
      </c>
      <c r="E254" t="s">
        <v>18</v>
      </c>
      <c r="F254" t="s">
        <v>556</v>
      </c>
      <c r="G254" t="s">
        <v>19</v>
      </c>
      <c r="H254" t="s">
        <v>290</v>
      </c>
      <c r="I254" s="2">
        <v>45382</v>
      </c>
      <c r="J254" s="2">
        <v>45504</v>
      </c>
    </row>
    <row r="255" spans="1:10" ht="60" hidden="1" x14ac:dyDescent="0.25">
      <c r="A255">
        <v>253</v>
      </c>
      <c r="B255" t="s">
        <v>557</v>
      </c>
      <c r="C255" t="s">
        <v>539</v>
      </c>
      <c r="D255" s="1" t="s">
        <v>17</v>
      </c>
      <c r="E255" t="s">
        <v>18</v>
      </c>
      <c r="F255" t="s">
        <v>558</v>
      </c>
      <c r="G255" t="s">
        <v>19</v>
      </c>
      <c r="H255" t="s">
        <v>290</v>
      </c>
      <c r="I255" s="2">
        <v>45382</v>
      </c>
      <c r="J255" s="2">
        <v>45504</v>
      </c>
    </row>
  </sheetData>
  <autoFilter ref="A1:J255" xr:uid="{00000000-0009-0000-0000-000001000000}">
    <filterColumn colId="6">
      <filters>
        <filter val="No records"/>
      </filters>
    </filterColumn>
    <filterColumn colId="9">
      <filters>
        <filter val="no dat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F8F9-4E09-4E69-855C-A52B2231C29E}">
  <dimension ref="A1:K259"/>
  <sheetViews>
    <sheetView workbookViewId="0">
      <selection activeCell="N21" sqref="N21"/>
    </sheetView>
  </sheetViews>
  <sheetFormatPr defaultRowHeight="15" x14ac:dyDescent="0.25"/>
  <cols>
    <col min="2" max="2" width="48.5703125" customWidth="1"/>
    <col min="3" max="3" width="73.5703125" bestFit="1" customWidth="1"/>
    <col min="6" max="6" width="23.28515625" customWidth="1"/>
    <col min="9" max="9" width="11.5703125" customWidth="1"/>
    <col min="10" max="10" width="11.8554687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630</v>
      </c>
    </row>
    <row r="2" spans="1:11" x14ac:dyDescent="0.25">
      <c r="A2">
        <v>0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K2" t="str">
        <f>VLOOKUP(B2,'20April'!B:G,6,0)</f>
        <v>No records</v>
      </c>
    </row>
    <row r="3" spans="1:11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  <c r="H3" t="s">
        <v>14</v>
      </c>
      <c r="I3" s="2">
        <v>45382</v>
      </c>
      <c r="J3" s="2">
        <v>45504</v>
      </c>
      <c r="K3" t="str">
        <f>VLOOKUP(B3,'20April'!B:G,6,0)</f>
        <v>Have records but not submitted</v>
      </c>
    </row>
    <row r="4" spans="1:11" x14ac:dyDescent="0.25">
      <c r="A4">
        <v>2</v>
      </c>
      <c r="B4" t="s">
        <v>20</v>
      </c>
      <c r="C4" s="3" t="s">
        <v>21</v>
      </c>
      <c r="D4" t="s">
        <v>57</v>
      </c>
      <c r="E4" t="s">
        <v>58</v>
      </c>
      <c r="G4" t="s">
        <v>54</v>
      </c>
      <c r="H4" t="s">
        <v>14</v>
      </c>
      <c r="K4" t="str">
        <f>VLOOKUP(B4,'20April'!B:G,6,0)</f>
        <v>Have records but not submitted</v>
      </c>
    </row>
    <row r="5" spans="1:11" x14ac:dyDescent="0.25">
      <c r="A5">
        <v>3</v>
      </c>
      <c r="B5" t="s">
        <v>24</v>
      </c>
      <c r="C5" t="s">
        <v>25</v>
      </c>
      <c r="D5" t="s">
        <v>11</v>
      </c>
      <c r="E5" t="s">
        <v>12</v>
      </c>
      <c r="G5" t="s">
        <v>13</v>
      </c>
      <c r="H5" t="s">
        <v>14</v>
      </c>
      <c r="K5" t="str">
        <f>VLOOKUP(B5,'20April'!B:G,6,0)</f>
        <v>No records</v>
      </c>
    </row>
    <row r="6" spans="1:11" x14ac:dyDescent="0.25">
      <c r="A6">
        <v>135</v>
      </c>
      <c r="B6" t="s">
        <v>287</v>
      </c>
      <c r="C6" t="s">
        <v>288</v>
      </c>
      <c r="D6" t="s">
        <v>17</v>
      </c>
      <c r="E6" t="s">
        <v>18</v>
      </c>
      <c r="F6" t="s">
        <v>289</v>
      </c>
      <c r="G6" t="s">
        <v>19</v>
      </c>
      <c r="H6" t="s">
        <v>290</v>
      </c>
      <c r="I6" s="2">
        <v>45382</v>
      </c>
      <c r="J6" s="2">
        <v>45504</v>
      </c>
      <c r="K6" t="str">
        <f>VLOOKUP(B6,'20April'!B:G,6,0)</f>
        <v>Have records but not submitted</v>
      </c>
    </row>
    <row r="7" spans="1:11" x14ac:dyDescent="0.25">
      <c r="A7">
        <v>136</v>
      </c>
      <c r="B7" t="s">
        <v>291</v>
      </c>
      <c r="C7" t="s">
        <v>288</v>
      </c>
      <c r="D7" t="s">
        <v>17</v>
      </c>
      <c r="E7" t="s">
        <v>18</v>
      </c>
      <c r="F7" t="s">
        <v>292</v>
      </c>
      <c r="G7" t="s">
        <v>19</v>
      </c>
      <c r="H7" t="s">
        <v>290</v>
      </c>
      <c r="I7" s="2">
        <v>45382</v>
      </c>
      <c r="J7" s="2">
        <v>45504</v>
      </c>
      <c r="K7" t="str">
        <f>VLOOKUP(B7,'20April'!B:G,6,0)</f>
        <v>Have records but not submitted</v>
      </c>
    </row>
    <row r="8" spans="1:11" x14ac:dyDescent="0.25">
      <c r="A8">
        <v>137</v>
      </c>
      <c r="B8" t="s">
        <v>293</v>
      </c>
      <c r="C8" t="s">
        <v>288</v>
      </c>
      <c r="D8" t="s">
        <v>17</v>
      </c>
      <c r="E8" t="s">
        <v>18</v>
      </c>
      <c r="F8" t="s">
        <v>294</v>
      </c>
      <c r="G8" t="s">
        <v>19</v>
      </c>
      <c r="H8" t="s">
        <v>290</v>
      </c>
      <c r="I8" s="2">
        <v>45382</v>
      </c>
      <c r="J8" s="2">
        <v>45504</v>
      </c>
      <c r="K8" t="str">
        <f>VLOOKUP(B8,'20April'!B:G,6,0)</f>
        <v>Have records but not submitted</v>
      </c>
    </row>
    <row r="9" spans="1:11" x14ac:dyDescent="0.25">
      <c r="A9">
        <v>138</v>
      </c>
      <c r="B9" t="s">
        <v>295</v>
      </c>
      <c r="C9" t="s">
        <v>288</v>
      </c>
      <c r="D9" t="s">
        <v>17</v>
      </c>
      <c r="E9" t="s">
        <v>18</v>
      </c>
      <c r="F9" t="s">
        <v>296</v>
      </c>
      <c r="G9" t="s">
        <v>19</v>
      </c>
      <c r="H9" t="s">
        <v>290</v>
      </c>
      <c r="I9" s="2">
        <v>45382</v>
      </c>
      <c r="J9" s="2">
        <v>45504</v>
      </c>
      <c r="K9" t="str">
        <f>VLOOKUP(B9,'20April'!B:G,6,0)</f>
        <v>Have records but not submitted</v>
      </c>
    </row>
    <row r="10" spans="1:11" x14ac:dyDescent="0.25">
      <c r="A10">
        <v>139</v>
      </c>
      <c r="B10" t="s">
        <v>297</v>
      </c>
      <c r="C10" t="s">
        <v>288</v>
      </c>
      <c r="D10" t="s">
        <v>17</v>
      </c>
      <c r="E10" t="s">
        <v>18</v>
      </c>
      <c r="F10" t="s">
        <v>298</v>
      </c>
      <c r="G10" t="s">
        <v>19</v>
      </c>
      <c r="H10" t="s">
        <v>290</v>
      </c>
      <c r="I10" s="2">
        <v>45382</v>
      </c>
      <c r="J10" s="2">
        <v>45504</v>
      </c>
      <c r="K10" t="str">
        <f>VLOOKUP(B10,'20April'!B:G,6,0)</f>
        <v>Have records but not submitted</v>
      </c>
    </row>
    <row r="11" spans="1:11" x14ac:dyDescent="0.25">
      <c r="A11">
        <v>140</v>
      </c>
      <c r="B11" t="s">
        <v>299</v>
      </c>
      <c r="C11" t="s">
        <v>288</v>
      </c>
      <c r="D11" t="s">
        <v>17</v>
      </c>
      <c r="E11" t="s">
        <v>18</v>
      </c>
      <c r="F11" t="s">
        <v>300</v>
      </c>
      <c r="G11" t="s">
        <v>19</v>
      </c>
      <c r="H11" t="s">
        <v>290</v>
      </c>
      <c r="I11" s="2">
        <v>45382</v>
      </c>
      <c r="J11" s="2">
        <v>45504</v>
      </c>
      <c r="K11" t="str">
        <f>VLOOKUP(B11,'20April'!B:G,6,0)</f>
        <v>Have records but not submitted</v>
      </c>
    </row>
    <row r="12" spans="1:11" x14ac:dyDescent="0.25">
      <c r="A12">
        <v>141</v>
      </c>
      <c r="B12" t="s">
        <v>301</v>
      </c>
      <c r="C12" t="s">
        <v>288</v>
      </c>
      <c r="D12" t="s">
        <v>11</v>
      </c>
      <c r="E12" t="s">
        <v>12</v>
      </c>
      <c r="F12" t="s">
        <v>302</v>
      </c>
      <c r="G12" t="s">
        <v>13</v>
      </c>
      <c r="H12" t="s">
        <v>290</v>
      </c>
      <c r="K12" t="str">
        <f>VLOOKUP(B12,'20April'!B:G,6,0)</f>
        <v>No records</v>
      </c>
    </row>
    <row r="13" spans="1:11" x14ac:dyDescent="0.25">
      <c r="A13">
        <v>142</v>
      </c>
      <c r="B13" t="s">
        <v>303</v>
      </c>
      <c r="C13" t="s">
        <v>304</v>
      </c>
      <c r="D13" t="s">
        <v>17</v>
      </c>
      <c r="E13" t="s">
        <v>18</v>
      </c>
      <c r="F13" t="s">
        <v>305</v>
      </c>
      <c r="G13" t="s">
        <v>19</v>
      </c>
      <c r="H13" t="s">
        <v>290</v>
      </c>
      <c r="I13" s="2">
        <v>45382</v>
      </c>
      <c r="J13" s="2">
        <v>45504</v>
      </c>
      <c r="K13" t="str">
        <f>VLOOKUP(B13,'20April'!B:G,6,0)</f>
        <v>Have records but not submitted</v>
      </c>
    </row>
    <row r="14" spans="1:11" x14ac:dyDescent="0.25">
      <c r="A14">
        <v>143</v>
      </c>
      <c r="B14" t="s">
        <v>306</v>
      </c>
      <c r="C14" t="s">
        <v>307</v>
      </c>
      <c r="D14" t="s">
        <v>17</v>
      </c>
      <c r="E14" t="s">
        <v>18</v>
      </c>
      <c r="F14" t="s">
        <v>308</v>
      </c>
      <c r="G14" t="s">
        <v>19</v>
      </c>
      <c r="H14" t="s">
        <v>290</v>
      </c>
      <c r="I14" s="2">
        <v>45382</v>
      </c>
      <c r="J14" s="2">
        <v>45504</v>
      </c>
      <c r="K14" t="str">
        <f>VLOOKUP(B14,'20April'!B:G,6,0)</f>
        <v>Have records but not submitted</v>
      </c>
    </row>
    <row r="15" spans="1:11" x14ac:dyDescent="0.25">
      <c r="A15">
        <v>145</v>
      </c>
      <c r="B15" t="s">
        <v>311</v>
      </c>
      <c r="C15" t="s">
        <v>307</v>
      </c>
      <c r="D15" t="s">
        <v>17</v>
      </c>
      <c r="E15" t="s">
        <v>18</v>
      </c>
      <c r="F15" t="s">
        <v>312</v>
      </c>
      <c r="G15" t="s">
        <v>19</v>
      </c>
      <c r="H15" t="s">
        <v>290</v>
      </c>
      <c r="I15" s="2">
        <v>45382</v>
      </c>
      <c r="J15" s="2">
        <v>45504</v>
      </c>
      <c r="K15" t="str">
        <f>VLOOKUP(B15,'20April'!B:G,6,0)</f>
        <v>Have records but not submitted</v>
      </c>
    </row>
    <row r="16" spans="1:11" x14ac:dyDescent="0.25">
      <c r="A16">
        <v>146</v>
      </c>
      <c r="B16" t="s">
        <v>313</v>
      </c>
      <c r="C16" t="s">
        <v>307</v>
      </c>
      <c r="D16" t="s">
        <v>17</v>
      </c>
      <c r="E16" t="s">
        <v>18</v>
      </c>
      <c r="F16" t="s">
        <v>314</v>
      </c>
      <c r="G16" t="s">
        <v>19</v>
      </c>
      <c r="H16" t="s">
        <v>290</v>
      </c>
      <c r="I16" s="2">
        <v>45382</v>
      </c>
      <c r="J16" s="2">
        <v>45504</v>
      </c>
      <c r="K16" t="str">
        <f>VLOOKUP(B16,'20April'!B:G,6,0)</f>
        <v>Have records but not submitted</v>
      </c>
    </row>
    <row r="17" spans="1:11" x14ac:dyDescent="0.25">
      <c r="A17">
        <v>147</v>
      </c>
      <c r="B17" t="s">
        <v>315</v>
      </c>
      <c r="C17" t="s">
        <v>307</v>
      </c>
      <c r="D17" t="s">
        <v>17</v>
      </c>
      <c r="E17" t="s">
        <v>18</v>
      </c>
      <c r="F17" t="s">
        <v>316</v>
      </c>
      <c r="G17" t="s">
        <v>19</v>
      </c>
      <c r="H17" t="s">
        <v>290</v>
      </c>
      <c r="I17" s="2">
        <v>45382</v>
      </c>
      <c r="J17" s="2">
        <v>45504</v>
      </c>
      <c r="K17" t="str">
        <f>VLOOKUP(B17,'20April'!B:G,6,0)</f>
        <v>Have records but not submitted</v>
      </c>
    </row>
    <row r="18" spans="1:11" x14ac:dyDescent="0.25">
      <c r="A18">
        <v>144</v>
      </c>
      <c r="B18" t="s">
        <v>309</v>
      </c>
      <c r="C18" t="s">
        <v>307</v>
      </c>
      <c r="D18" t="s">
        <v>11</v>
      </c>
      <c r="E18" t="s">
        <v>12</v>
      </c>
      <c r="F18" t="s">
        <v>310</v>
      </c>
      <c r="G18" t="s">
        <v>13</v>
      </c>
      <c r="H18" t="s">
        <v>290</v>
      </c>
      <c r="K18" t="str">
        <f>VLOOKUP(B18,'20April'!B:G,6,0)</f>
        <v>No records</v>
      </c>
    </row>
    <row r="19" spans="1:11" x14ac:dyDescent="0.25">
      <c r="A19">
        <v>4</v>
      </c>
      <c r="B19" t="s">
        <v>26</v>
      </c>
      <c r="C19" t="s">
        <v>27</v>
      </c>
      <c r="D19" t="s">
        <v>17</v>
      </c>
      <c r="E19" t="s">
        <v>18</v>
      </c>
      <c r="G19" t="s">
        <v>19</v>
      </c>
      <c r="H19" t="s">
        <v>14</v>
      </c>
      <c r="I19" s="2">
        <v>45382</v>
      </c>
      <c r="J19" s="2">
        <v>45504</v>
      </c>
      <c r="K19" t="str">
        <f>VLOOKUP(B19,'20April'!B:G,6,0)</f>
        <v>Have records but not submitted</v>
      </c>
    </row>
    <row r="20" spans="1:11" x14ac:dyDescent="0.25">
      <c r="A20">
        <v>5</v>
      </c>
      <c r="B20" t="s">
        <v>28</v>
      </c>
      <c r="C20" t="s">
        <v>29</v>
      </c>
      <c r="D20" t="s">
        <v>17</v>
      </c>
      <c r="E20" t="s">
        <v>18</v>
      </c>
      <c r="G20" t="s">
        <v>19</v>
      </c>
      <c r="H20" t="s">
        <v>14</v>
      </c>
      <c r="I20" s="2">
        <v>45382</v>
      </c>
      <c r="J20" s="2">
        <v>45504</v>
      </c>
      <c r="K20" t="str">
        <f>VLOOKUP(B20,'20April'!B:G,6,0)</f>
        <v>Have records but not submitted</v>
      </c>
    </row>
    <row r="21" spans="1:11" x14ac:dyDescent="0.25">
      <c r="A21">
        <v>6</v>
      </c>
      <c r="B21" t="s">
        <v>30</v>
      </c>
      <c r="C21" t="s">
        <v>31</v>
      </c>
      <c r="D21" t="s">
        <v>17</v>
      </c>
      <c r="E21" t="s">
        <v>18</v>
      </c>
      <c r="G21" t="s">
        <v>19</v>
      </c>
      <c r="H21" t="s">
        <v>14</v>
      </c>
      <c r="I21" s="2">
        <v>45382</v>
      </c>
      <c r="J21" s="2">
        <v>45504</v>
      </c>
      <c r="K21" t="str">
        <f>VLOOKUP(B21,'20April'!B:G,6,0)</f>
        <v>Have records but not submitted</v>
      </c>
    </row>
    <row r="22" spans="1:11" x14ac:dyDescent="0.25">
      <c r="A22">
        <v>7</v>
      </c>
      <c r="B22" t="s">
        <v>32</v>
      </c>
      <c r="C22" t="s">
        <v>33</v>
      </c>
      <c r="D22" t="s">
        <v>11</v>
      </c>
      <c r="E22" t="s">
        <v>12</v>
      </c>
      <c r="G22" t="s">
        <v>13</v>
      </c>
      <c r="H22" t="s">
        <v>14</v>
      </c>
      <c r="K22" t="str">
        <f>VLOOKUP(B22,'20April'!B:G,6,0)</f>
        <v>No records</v>
      </c>
    </row>
    <row r="23" spans="1:11" x14ac:dyDescent="0.25">
      <c r="A23">
        <v>148</v>
      </c>
      <c r="B23" t="s">
        <v>317</v>
      </c>
      <c r="C23" t="s">
        <v>318</v>
      </c>
      <c r="D23" t="s">
        <v>17</v>
      </c>
      <c r="E23" t="s">
        <v>18</v>
      </c>
      <c r="F23" t="s">
        <v>319</v>
      </c>
      <c r="G23" t="s">
        <v>19</v>
      </c>
      <c r="H23" t="s">
        <v>290</v>
      </c>
      <c r="I23" s="2">
        <v>45382</v>
      </c>
      <c r="J23" s="2">
        <v>45504</v>
      </c>
      <c r="K23" t="str">
        <f>VLOOKUP(B23,'20April'!B:G,6,0)</f>
        <v>Have records but not submitted</v>
      </c>
    </row>
    <row r="24" spans="1:11" x14ac:dyDescent="0.25">
      <c r="A24">
        <v>149</v>
      </c>
      <c r="B24" t="s">
        <v>320</v>
      </c>
      <c r="C24" t="s">
        <v>318</v>
      </c>
      <c r="D24" t="s">
        <v>17</v>
      </c>
      <c r="E24" t="s">
        <v>18</v>
      </c>
      <c r="F24" t="s">
        <v>321</v>
      </c>
      <c r="G24" t="s">
        <v>19</v>
      </c>
      <c r="H24" t="s">
        <v>290</v>
      </c>
      <c r="I24" s="2">
        <v>45382</v>
      </c>
      <c r="J24" s="2">
        <v>45504</v>
      </c>
      <c r="K24" t="str">
        <f>VLOOKUP(B24,'20April'!B:G,6,0)</f>
        <v>Have records but not submitted</v>
      </c>
    </row>
    <row r="25" spans="1:11" x14ac:dyDescent="0.25">
      <c r="A25">
        <v>8</v>
      </c>
      <c r="B25" t="s">
        <v>34</v>
      </c>
      <c r="C25" t="s">
        <v>35</v>
      </c>
      <c r="D25" t="s">
        <v>17</v>
      </c>
      <c r="E25" t="s">
        <v>18</v>
      </c>
      <c r="G25" t="s">
        <v>19</v>
      </c>
      <c r="H25" t="s">
        <v>14</v>
      </c>
      <c r="I25" s="2">
        <v>45382</v>
      </c>
      <c r="J25" s="2">
        <v>45504</v>
      </c>
      <c r="K25" t="str">
        <f>VLOOKUP(B25,'20April'!B:G,6,0)</f>
        <v>Have records but not submitted</v>
      </c>
    </row>
    <row r="26" spans="1:11" x14ac:dyDescent="0.25">
      <c r="A26">
        <v>9</v>
      </c>
      <c r="B26" t="s">
        <v>36</v>
      </c>
      <c r="C26" t="s">
        <v>37</v>
      </c>
      <c r="D26" t="s">
        <v>11</v>
      </c>
      <c r="E26" t="s">
        <v>12</v>
      </c>
      <c r="G26" t="s">
        <v>13</v>
      </c>
      <c r="H26" t="s">
        <v>14</v>
      </c>
      <c r="K26" t="str">
        <f>VLOOKUP(B26,'20April'!B:G,6,0)</f>
        <v>No records</v>
      </c>
    </row>
    <row r="27" spans="1:11" x14ac:dyDescent="0.25">
      <c r="A27">
        <v>10</v>
      </c>
      <c r="B27" t="s">
        <v>38</v>
      </c>
      <c r="C27" t="s">
        <v>39</v>
      </c>
      <c r="D27" t="s">
        <v>11</v>
      </c>
      <c r="E27" t="s">
        <v>12</v>
      </c>
      <c r="G27" t="s">
        <v>13</v>
      </c>
      <c r="H27" t="s">
        <v>14</v>
      </c>
      <c r="K27" t="str">
        <f>VLOOKUP(B27,'20April'!B:G,6,0)</f>
        <v>No records</v>
      </c>
    </row>
    <row r="28" spans="1:11" x14ac:dyDescent="0.25">
      <c r="A28">
        <v>11</v>
      </c>
      <c r="B28" t="s">
        <v>40</v>
      </c>
      <c r="C28" t="s">
        <v>41</v>
      </c>
      <c r="D28" t="s">
        <v>11</v>
      </c>
      <c r="E28" t="s">
        <v>12</v>
      </c>
      <c r="G28" t="s">
        <v>13</v>
      </c>
      <c r="H28" t="s">
        <v>14</v>
      </c>
      <c r="K28" t="str">
        <f>VLOOKUP(B28,'20April'!B:G,6,0)</f>
        <v>No records</v>
      </c>
    </row>
    <row r="29" spans="1:11" x14ac:dyDescent="0.25">
      <c r="A29">
        <v>12</v>
      </c>
      <c r="B29" t="s">
        <v>42</v>
      </c>
      <c r="C29" t="s">
        <v>43</v>
      </c>
      <c r="D29" t="s">
        <v>11</v>
      </c>
      <c r="E29" t="s">
        <v>12</v>
      </c>
      <c r="G29" t="s">
        <v>13</v>
      </c>
      <c r="H29" t="s">
        <v>14</v>
      </c>
      <c r="K29" t="str">
        <f>VLOOKUP(B29,'20April'!B:G,6,0)</f>
        <v>No records</v>
      </c>
    </row>
    <row r="30" spans="1:11" x14ac:dyDescent="0.25">
      <c r="A30">
        <v>13</v>
      </c>
      <c r="B30" t="s">
        <v>44</v>
      </c>
      <c r="C30" s="3" t="s">
        <v>45</v>
      </c>
      <c r="D30" t="s">
        <v>57</v>
      </c>
      <c r="E30" t="s">
        <v>58</v>
      </c>
      <c r="G30" t="s">
        <v>54</v>
      </c>
      <c r="H30" t="s">
        <v>14</v>
      </c>
      <c r="K30" t="str">
        <f>VLOOKUP(B30,'20April'!B:G,6,0)</f>
        <v>Have records but not submitted</v>
      </c>
    </row>
    <row r="31" spans="1:11" x14ac:dyDescent="0.25">
      <c r="A31">
        <v>14</v>
      </c>
      <c r="B31" t="s">
        <v>46</v>
      </c>
      <c r="C31" t="s">
        <v>47</v>
      </c>
      <c r="D31" t="s">
        <v>22</v>
      </c>
      <c r="E31" t="s">
        <v>23</v>
      </c>
      <c r="G31" t="s">
        <v>19</v>
      </c>
      <c r="H31" t="s">
        <v>14</v>
      </c>
      <c r="I31" s="2">
        <v>45291</v>
      </c>
      <c r="J31" s="2">
        <v>45412</v>
      </c>
      <c r="K31" t="str">
        <f>VLOOKUP(B31,'20April'!B:G,6,0)</f>
        <v>Have records but not submitted</v>
      </c>
    </row>
    <row r="32" spans="1:11" x14ac:dyDescent="0.25">
      <c r="A32">
        <v>15</v>
      </c>
      <c r="B32" t="s">
        <v>48</v>
      </c>
      <c r="C32" t="s">
        <v>49</v>
      </c>
      <c r="D32" t="s">
        <v>11</v>
      </c>
      <c r="E32" t="s">
        <v>12</v>
      </c>
      <c r="G32" t="s">
        <v>13</v>
      </c>
      <c r="H32" t="s">
        <v>14</v>
      </c>
      <c r="K32" t="str">
        <f>VLOOKUP(B32,'20April'!B:G,6,0)</f>
        <v>No records</v>
      </c>
    </row>
    <row r="33" spans="1:11" x14ac:dyDescent="0.25">
      <c r="A33">
        <v>150</v>
      </c>
      <c r="B33" t="s">
        <v>322</v>
      </c>
      <c r="C33" t="s">
        <v>323</v>
      </c>
      <c r="D33" t="s">
        <v>17</v>
      </c>
      <c r="E33" t="s">
        <v>18</v>
      </c>
      <c r="F33" t="s">
        <v>324</v>
      </c>
      <c r="G33" t="s">
        <v>19</v>
      </c>
      <c r="H33" t="s">
        <v>290</v>
      </c>
      <c r="I33" s="2">
        <v>45382</v>
      </c>
      <c r="J33" s="2">
        <v>45504</v>
      </c>
      <c r="K33" t="str">
        <f>VLOOKUP(B33,'20April'!B:G,6,0)</f>
        <v>Have records but not submitted</v>
      </c>
    </row>
    <row r="34" spans="1:11" x14ac:dyDescent="0.25">
      <c r="A34">
        <v>151</v>
      </c>
      <c r="B34" t="s">
        <v>325</v>
      </c>
      <c r="C34" t="s">
        <v>323</v>
      </c>
      <c r="D34" t="s">
        <v>17</v>
      </c>
      <c r="E34" t="s">
        <v>18</v>
      </c>
      <c r="F34" t="s">
        <v>326</v>
      </c>
      <c r="G34" t="s">
        <v>19</v>
      </c>
      <c r="H34" t="s">
        <v>290</v>
      </c>
      <c r="I34" s="2">
        <v>45382</v>
      </c>
      <c r="J34" s="2">
        <v>45504</v>
      </c>
      <c r="K34" t="str">
        <f>VLOOKUP(B34,'20April'!B:G,6,0)</f>
        <v>Have records but not submitted</v>
      </c>
    </row>
    <row r="35" spans="1:11" x14ac:dyDescent="0.25">
      <c r="A35">
        <v>152</v>
      </c>
      <c r="B35" t="s">
        <v>327</v>
      </c>
      <c r="C35" t="s">
        <v>323</v>
      </c>
      <c r="D35" t="s">
        <v>17</v>
      </c>
      <c r="E35" t="s">
        <v>18</v>
      </c>
      <c r="F35" t="s">
        <v>328</v>
      </c>
      <c r="G35" t="s">
        <v>19</v>
      </c>
      <c r="H35" t="s">
        <v>290</v>
      </c>
      <c r="I35" s="2">
        <v>45382</v>
      </c>
      <c r="J35" s="2">
        <v>45504</v>
      </c>
      <c r="K35" t="str">
        <f>VLOOKUP(B35,'20April'!B:G,6,0)</f>
        <v>Have records but not submitted</v>
      </c>
    </row>
    <row r="36" spans="1:11" x14ac:dyDescent="0.25">
      <c r="A36">
        <v>153</v>
      </c>
      <c r="B36" t="s">
        <v>329</v>
      </c>
      <c r="C36" t="s">
        <v>330</v>
      </c>
      <c r="D36" t="s">
        <v>17</v>
      </c>
      <c r="E36" t="s">
        <v>18</v>
      </c>
      <c r="F36" t="s">
        <v>331</v>
      </c>
      <c r="G36" t="s">
        <v>19</v>
      </c>
      <c r="H36" t="s">
        <v>290</v>
      </c>
      <c r="I36" s="2">
        <v>45382</v>
      </c>
      <c r="J36" s="2">
        <v>45504</v>
      </c>
      <c r="K36" t="str">
        <f>VLOOKUP(B36,'20April'!B:G,6,0)</f>
        <v>Have records but not submitted</v>
      </c>
    </row>
    <row r="37" spans="1:11" x14ac:dyDescent="0.25">
      <c r="A37">
        <v>154</v>
      </c>
      <c r="B37" t="s">
        <v>332</v>
      </c>
      <c r="C37" t="s">
        <v>330</v>
      </c>
      <c r="D37" t="s">
        <v>17</v>
      </c>
      <c r="E37" t="s">
        <v>18</v>
      </c>
      <c r="F37" t="s">
        <v>333</v>
      </c>
      <c r="G37" t="s">
        <v>19</v>
      </c>
      <c r="H37" t="s">
        <v>290</v>
      </c>
      <c r="I37" s="2">
        <v>45382</v>
      </c>
      <c r="J37" s="2">
        <v>45504</v>
      </c>
      <c r="K37" t="str">
        <f>VLOOKUP(B37,'20April'!B:G,6,0)</f>
        <v>Have records but not submitted</v>
      </c>
    </row>
    <row r="38" spans="1:11" x14ac:dyDescent="0.25">
      <c r="A38">
        <v>155</v>
      </c>
      <c r="B38" t="s">
        <v>334</v>
      </c>
      <c r="C38" t="s">
        <v>330</v>
      </c>
      <c r="D38" t="s">
        <v>17</v>
      </c>
      <c r="E38" t="s">
        <v>18</v>
      </c>
      <c r="F38" t="s">
        <v>335</v>
      </c>
      <c r="G38" t="s">
        <v>19</v>
      </c>
      <c r="H38" t="s">
        <v>290</v>
      </c>
      <c r="I38" s="2">
        <v>45382</v>
      </c>
      <c r="J38" s="2">
        <v>45504</v>
      </c>
      <c r="K38" t="str">
        <f>VLOOKUP(B38,'20April'!B:G,6,0)</f>
        <v>Have records but not submitted</v>
      </c>
    </row>
    <row r="39" spans="1:11" x14ac:dyDescent="0.25">
      <c r="A39">
        <v>156</v>
      </c>
      <c r="B39" t="s">
        <v>336</v>
      </c>
      <c r="C39" t="s">
        <v>330</v>
      </c>
      <c r="D39" t="s">
        <v>17</v>
      </c>
      <c r="E39" t="s">
        <v>18</v>
      </c>
      <c r="F39" t="s">
        <v>337</v>
      </c>
      <c r="G39" t="s">
        <v>19</v>
      </c>
      <c r="H39" t="s">
        <v>290</v>
      </c>
      <c r="I39" s="2">
        <v>45382</v>
      </c>
      <c r="J39" s="2">
        <v>45504</v>
      </c>
      <c r="K39" t="str">
        <f>VLOOKUP(B39,'20April'!B:G,6,0)</f>
        <v>Have records but not submitted</v>
      </c>
    </row>
    <row r="40" spans="1:11" x14ac:dyDescent="0.25">
      <c r="A40">
        <v>157</v>
      </c>
      <c r="B40" t="s">
        <v>338</v>
      </c>
      <c r="C40" t="s">
        <v>330</v>
      </c>
      <c r="D40" t="s">
        <v>17</v>
      </c>
      <c r="E40" t="s">
        <v>18</v>
      </c>
      <c r="F40" t="s">
        <v>339</v>
      </c>
      <c r="G40" t="s">
        <v>19</v>
      </c>
      <c r="H40" t="s">
        <v>290</v>
      </c>
      <c r="I40" s="2">
        <v>45382</v>
      </c>
      <c r="J40" s="2">
        <v>45504</v>
      </c>
      <c r="K40" t="str">
        <f>VLOOKUP(B40,'20April'!B:G,6,0)</f>
        <v>Have records but not submitted</v>
      </c>
    </row>
    <row r="41" spans="1:11" x14ac:dyDescent="0.25">
      <c r="A41">
        <v>158</v>
      </c>
      <c r="B41" t="s">
        <v>340</v>
      </c>
      <c r="C41" t="s">
        <v>330</v>
      </c>
      <c r="D41" t="s">
        <v>17</v>
      </c>
      <c r="E41" t="s">
        <v>18</v>
      </c>
      <c r="F41" t="s">
        <v>341</v>
      </c>
      <c r="G41" t="s">
        <v>19</v>
      </c>
      <c r="H41" t="s">
        <v>290</v>
      </c>
      <c r="I41" s="2">
        <v>45382</v>
      </c>
      <c r="J41" s="2">
        <v>45504</v>
      </c>
      <c r="K41" t="str">
        <f>VLOOKUP(B41,'20April'!B:G,6,0)</f>
        <v>Have records but not submitted</v>
      </c>
    </row>
    <row r="42" spans="1:11" x14ac:dyDescent="0.25">
      <c r="A42">
        <v>16</v>
      </c>
      <c r="B42" t="s">
        <v>50</v>
      </c>
      <c r="C42" t="s">
        <v>51</v>
      </c>
      <c r="D42" t="s">
        <v>52</v>
      </c>
      <c r="E42" t="s">
        <v>53</v>
      </c>
      <c r="G42" t="s">
        <v>54</v>
      </c>
      <c r="H42" t="s">
        <v>14</v>
      </c>
      <c r="K42" t="str">
        <f>VLOOKUP(B42,'20April'!B:G,6,0)</f>
        <v>Have records and have submitted</v>
      </c>
    </row>
    <row r="43" spans="1:11" x14ac:dyDescent="0.25">
      <c r="A43">
        <v>159</v>
      </c>
      <c r="B43" t="s">
        <v>342</v>
      </c>
      <c r="C43" t="s">
        <v>343</v>
      </c>
      <c r="D43" t="s">
        <v>17</v>
      </c>
      <c r="E43" t="s">
        <v>18</v>
      </c>
      <c r="F43" t="s">
        <v>344</v>
      </c>
      <c r="G43" t="s">
        <v>19</v>
      </c>
      <c r="H43" t="s">
        <v>290</v>
      </c>
      <c r="I43" s="2">
        <v>45382</v>
      </c>
      <c r="J43" s="2">
        <v>45504</v>
      </c>
      <c r="K43" t="str">
        <f>VLOOKUP(B43,'20April'!B:G,6,0)</f>
        <v>Have records but not submitted</v>
      </c>
    </row>
    <row r="44" spans="1:11" x14ac:dyDescent="0.25">
      <c r="A44">
        <v>160</v>
      </c>
      <c r="B44" t="s">
        <v>345</v>
      </c>
      <c r="C44" t="s">
        <v>343</v>
      </c>
      <c r="D44" t="s">
        <v>17</v>
      </c>
      <c r="E44" t="s">
        <v>18</v>
      </c>
      <c r="F44" t="s">
        <v>346</v>
      </c>
      <c r="G44" t="s">
        <v>19</v>
      </c>
      <c r="H44" t="s">
        <v>290</v>
      </c>
      <c r="I44" s="2">
        <v>45382</v>
      </c>
      <c r="J44" s="2">
        <v>45504</v>
      </c>
      <c r="K44" t="str">
        <f>VLOOKUP(B44,'20April'!B:G,6,0)</f>
        <v>Have records but not submitted</v>
      </c>
    </row>
    <row r="45" spans="1:11" x14ac:dyDescent="0.25">
      <c r="A45">
        <v>161</v>
      </c>
      <c r="B45" t="s">
        <v>347</v>
      </c>
      <c r="C45" t="s">
        <v>343</v>
      </c>
      <c r="D45" t="s">
        <v>17</v>
      </c>
      <c r="E45" t="s">
        <v>18</v>
      </c>
      <c r="F45" t="s">
        <v>348</v>
      </c>
      <c r="G45" t="s">
        <v>19</v>
      </c>
      <c r="H45" t="s">
        <v>290</v>
      </c>
      <c r="I45" s="2">
        <v>45382</v>
      </c>
      <c r="J45" s="2">
        <v>45504</v>
      </c>
      <c r="K45" t="str">
        <f>VLOOKUP(B45,'20April'!B:G,6,0)</f>
        <v>Have records but not submitted</v>
      </c>
    </row>
    <row r="46" spans="1:11" x14ac:dyDescent="0.25">
      <c r="A46">
        <v>162</v>
      </c>
      <c r="B46" t="s">
        <v>349</v>
      </c>
      <c r="C46" t="s">
        <v>343</v>
      </c>
      <c r="D46" t="s">
        <v>17</v>
      </c>
      <c r="E46" t="s">
        <v>18</v>
      </c>
      <c r="F46" t="s">
        <v>350</v>
      </c>
      <c r="G46" t="s">
        <v>19</v>
      </c>
      <c r="H46" t="s">
        <v>290</v>
      </c>
      <c r="I46" s="2">
        <v>45382</v>
      </c>
      <c r="J46" s="2">
        <v>45504</v>
      </c>
      <c r="K46" t="str">
        <f>VLOOKUP(B46,'20April'!B:G,6,0)</f>
        <v>Have records but not submitted</v>
      </c>
    </row>
    <row r="47" spans="1:11" x14ac:dyDescent="0.25">
      <c r="A47">
        <v>17</v>
      </c>
      <c r="B47" t="s">
        <v>55</v>
      </c>
      <c r="C47" t="s">
        <v>56</v>
      </c>
      <c r="D47" t="s">
        <v>57</v>
      </c>
      <c r="E47" t="s">
        <v>58</v>
      </c>
      <c r="G47" t="s">
        <v>54</v>
      </c>
      <c r="H47" t="s">
        <v>14</v>
      </c>
      <c r="K47" t="str">
        <f>VLOOKUP(B47,'20April'!B:G,6,0)</f>
        <v>Have records and have submitted</v>
      </c>
    </row>
    <row r="48" spans="1:11" x14ac:dyDescent="0.25">
      <c r="A48">
        <v>163</v>
      </c>
      <c r="B48" t="s">
        <v>351</v>
      </c>
      <c r="C48" t="s">
        <v>352</v>
      </c>
      <c r="D48" t="s">
        <v>17</v>
      </c>
      <c r="E48" t="s">
        <v>18</v>
      </c>
      <c r="F48" t="s">
        <v>353</v>
      </c>
      <c r="G48" t="s">
        <v>19</v>
      </c>
      <c r="H48" t="s">
        <v>290</v>
      </c>
      <c r="I48" s="2">
        <v>45382</v>
      </c>
      <c r="J48" s="2">
        <v>45504</v>
      </c>
      <c r="K48" t="str">
        <f>VLOOKUP(B48,'20April'!B:G,6,0)</f>
        <v>Have records but not submitted</v>
      </c>
    </row>
    <row r="49" spans="1:11" x14ac:dyDescent="0.25">
      <c r="A49">
        <v>164</v>
      </c>
      <c r="B49" t="s">
        <v>354</v>
      </c>
      <c r="C49" t="s">
        <v>352</v>
      </c>
      <c r="D49" t="s">
        <v>17</v>
      </c>
      <c r="E49" t="s">
        <v>18</v>
      </c>
      <c r="F49" t="s">
        <v>355</v>
      </c>
      <c r="G49" t="s">
        <v>19</v>
      </c>
      <c r="H49" t="s">
        <v>290</v>
      </c>
      <c r="I49" s="2">
        <v>45382</v>
      </c>
      <c r="J49" s="2">
        <v>45504</v>
      </c>
      <c r="K49" t="str">
        <f>VLOOKUP(B49,'20April'!B:G,6,0)</f>
        <v>Have records but not submitted</v>
      </c>
    </row>
    <row r="50" spans="1:11" x14ac:dyDescent="0.25">
      <c r="A50">
        <v>166</v>
      </c>
      <c r="B50" t="s">
        <v>358</v>
      </c>
      <c r="C50" t="s">
        <v>352</v>
      </c>
      <c r="D50" t="s">
        <v>17</v>
      </c>
      <c r="E50" t="s">
        <v>18</v>
      </c>
      <c r="F50" t="s">
        <v>359</v>
      </c>
      <c r="G50" t="s">
        <v>19</v>
      </c>
      <c r="H50" t="s">
        <v>290</v>
      </c>
      <c r="I50" s="2">
        <v>45382</v>
      </c>
      <c r="J50" s="2">
        <v>45504</v>
      </c>
      <c r="K50" t="str">
        <f>VLOOKUP(B50,'20April'!B:G,6,0)</f>
        <v>Have records but not submitted</v>
      </c>
    </row>
    <row r="51" spans="1:11" x14ac:dyDescent="0.25">
      <c r="A51">
        <v>167</v>
      </c>
      <c r="B51" t="s">
        <v>360</v>
      </c>
      <c r="C51" t="s">
        <v>352</v>
      </c>
      <c r="D51" t="s">
        <v>17</v>
      </c>
      <c r="E51" t="s">
        <v>18</v>
      </c>
      <c r="F51" t="s">
        <v>361</v>
      </c>
      <c r="G51" t="s">
        <v>19</v>
      </c>
      <c r="H51" t="s">
        <v>290</v>
      </c>
      <c r="I51" s="2">
        <v>45382</v>
      </c>
      <c r="J51" s="2">
        <v>45504</v>
      </c>
      <c r="K51" t="str">
        <f>VLOOKUP(B51,'20April'!B:G,6,0)</f>
        <v>Have records but not submitted</v>
      </c>
    </row>
    <row r="52" spans="1:11" x14ac:dyDescent="0.25">
      <c r="A52">
        <v>169</v>
      </c>
      <c r="B52" t="s">
        <v>364</v>
      </c>
      <c r="C52" t="s">
        <v>352</v>
      </c>
      <c r="D52" t="s">
        <v>17</v>
      </c>
      <c r="E52" t="s">
        <v>18</v>
      </c>
      <c r="F52" t="s">
        <v>365</v>
      </c>
      <c r="G52" t="s">
        <v>19</v>
      </c>
      <c r="H52" t="s">
        <v>290</v>
      </c>
      <c r="I52" s="2">
        <v>45382</v>
      </c>
      <c r="J52" s="2">
        <v>45504</v>
      </c>
      <c r="K52" t="str">
        <f>VLOOKUP(B52,'20April'!B:G,6,0)</f>
        <v>Have records but not submitted</v>
      </c>
    </row>
    <row r="53" spans="1:11" x14ac:dyDescent="0.25">
      <c r="A53">
        <v>170</v>
      </c>
      <c r="B53" t="s">
        <v>366</v>
      </c>
      <c r="C53" t="s">
        <v>352</v>
      </c>
      <c r="D53" t="s">
        <v>17</v>
      </c>
      <c r="E53" t="s">
        <v>18</v>
      </c>
      <c r="F53" t="s">
        <v>367</v>
      </c>
      <c r="G53" t="s">
        <v>19</v>
      </c>
      <c r="H53" t="s">
        <v>290</v>
      </c>
      <c r="I53" s="2">
        <v>45382</v>
      </c>
      <c r="J53" s="2">
        <v>45504</v>
      </c>
      <c r="K53" t="str">
        <f>VLOOKUP(B53,'20April'!B:G,6,0)</f>
        <v>Have records but not submitted</v>
      </c>
    </row>
    <row r="54" spans="1:11" x14ac:dyDescent="0.25">
      <c r="A54">
        <v>171</v>
      </c>
      <c r="B54" t="s">
        <v>368</v>
      </c>
      <c r="C54" t="s">
        <v>352</v>
      </c>
      <c r="D54" t="s">
        <v>17</v>
      </c>
      <c r="E54" t="s">
        <v>18</v>
      </c>
      <c r="F54" t="s">
        <v>369</v>
      </c>
      <c r="G54" t="s">
        <v>19</v>
      </c>
      <c r="H54" t="s">
        <v>290</v>
      </c>
      <c r="I54" s="2">
        <v>45382</v>
      </c>
      <c r="J54" s="2">
        <v>45504</v>
      </c>
      <c r="K54" t="str">
        <f>VLOOKUP(B54,'20April'!B:G,6,0)</f>
        <v>Have records but not submitted</v>
      </c>
    </row>
    <row r="55" spans="1:11" x14ac:dyDescent="0.25">
      <c r="A55">
        <v>172</v>
      </c>
      <c r="B55" t="s">
        <v>370</v>
      </c>
      <c r="C55" t="s">
        <v>352</v>
      </c>
      <c r="D55" t="s">
        <v>17</v>
      </c>
      <c r="E55" t="s">
        <v>18</v>
      </c>
      <c r="F55" t="s">
        <v>371</v>
      </c>
      <c r="G55" t="s">
        <v>19</v>
      </c>
      <c r="H55" t="s">
        <v>290</v>
      </c>
      <c r="I55" s="2">
        <v>45382</v>
      </c>
      <c r="J55" s="2">
        <v>45504</v>
      </c>
      <c r="K55" t="str">
        <f>VLOOKUP(B55,'20April'!B:G,6,0)</f>
        <v>Have records but not submitted</v>
      </c>
    </row>
    <row r="56" spans="1:11" x14ac:dyDescent="0.25">
      <c r="A56">
        <v>174</v>
      </c>
      <c r="B56" t="s">
        <v>374</v>
      </c>
      <c r="C56" t="s">
        <v>352</v>
      </c>
      <c r="D56" t="s">
        <v>17</v>
      </c>
      <c r="E56" t="s">
        <v>18</v>
      </c>
      <c r="F56" t="s">
        <v>375</v>
      </c>
      <c r="G56" t="s">
        <v>19</v>
      </c>
      <c r="H56" t="s">
        <v>290</v>
      </c>
      <c r="I56" s="2">
        <v>45382</v>
      </c>
      <c r="J56" s="2">
        <v>45504</v>
      </c>
      <c r="K56" t="str">
        <f>VLOOKUP(B56,'20April'!B:G,6,0)</f>
        <v>Have records but not submitted</v>
      </c>
    </row>
    <row r="57" spans="1:11" x14ac:dyDescent="0.25">
      <c r="A57">
        <v>175</v>
      </c>
      <c r="B57" t="s">
        <v>376</v>
      </c>
      <c r="C57" t="s">
        <v>352</v>
      </c>
      <c r="D57" t="s">
        <v>17</v>
      </c>
      <c r="E57" t="s">
        <v>18</v>
      </c>
      <c r="F57" t="s">
        <v>377</v>
      </c>
      <c r="G57" t="s">
        <v>19</v>
      </c>
      <c r="H57" t="s">
        <v>290</v>
      </c>
      <c r="I57" s="2">
        <v>45382</v>
      </c>
      <c r="J57" s="2">
        <v>45504</v>
      </c>
      <c r="K57" t="str">
        <f>VLOOKUP(B57,'20April'!B:G,6,0)</f>
        <v>Have records but not submitted</v>
      </c>
    </row>
    <row r="58" spans="1:11" x14ac:dyDescent="0.25">
      <c r="A58">
        <v>176</v>
      </c>
      <c r="B58" t="s">
        <v>378</v>
      </c>
      <c r="C58" t="s">
        <v>352</v>
      </c>
      <c r="D58" t="s">
        <v>17</v>
      </c>
      <c r="E58" t="s">
        <v>18</v>
      </c>
      <c r="F58" t="s">
        <v>379</v>
      </c>
      <c r="G58" t="s">
        <v>19</v>
      </c>
      <c r="H58" t="s">
        <v>290</v>
      </c>
      <c r="I58" s="2">
        <v>45382</v>
      </c>
      <c r="J58" s="2">
        <v>45504</v>
      </c>
      <c r="K58" t="str">
        <f>VLOOKUP(B58,'20April'!B:G,6,0)</f>
        <v>Have records but not submitted</v>
      </c>
    </row>
    <row r="59" spans="1:11" x14ac:dyDescent="0.25">
      <c r="A59">
        <v>177</v>
      </c>
      <c r="B59" t="s">
        <v>380</v>
      </c>
      <c r="C59" t="s">
        <v>352</v>
      </c>
      <c r="D59" t="s">
        <v>17</v>
      </c>
      <c r="E59" t="s">
        <v>18</v>
      </c>
      <c r="F59" t="s">
        <v>381</v>
      </c>
      <c r="G59" t="s">
        <v>19</v>
      </c>
      <c r="H59" t="s">
        <v>290</v>
      </c>
      <c r="I59" s="2">
        <v>45382</v>
      </c>
      <c r="J59" s="2">
        <v>45504</v>
      </c>
      <c r="K59" t="str">
        <f>VLOOKUP(B59,'20April'!B:G,6,0)</f>
        <v>Have records but not submitted</v>
      </c>
    </row>
    <row r="60" spans="1:11" x14ac:dyDescent="0.25">
      <c r="A60">
        <v>178</v>
      </c>
      <c r="B60" t="s">
        <v>382</v>
      </c>
      <c r="C60" t="s">
        <v>352</v>
      </c>
      <c r="D60" t="s">
        <v>17</v>
      </c>
      <c r="E60" t="s">
        <v>18</v>
      </c>
      <c r="F60" t="s">
        <v>383</v>
      </c>
      <c r="G60" t="s">
        <v>19</v>
      </c>
      <c r="H60" t="s">
        <v>290</v>
      </c>
      <c r="I60" s="2">
        <v>45382</v>
      </c>
      <c r="J60" s="2">
        <v>45504</v>
      </c>
      <c r="K60" t="str">
        <f>VLOOKUP(B60,'20April'!B:G,6,0)</f>
        <v>Have records but not submitted</v>
      </c>
    </row>
    <row r="61" spans="1:11" x14ac:dyDescent="0.25">
      <c r="A61">
        <v>180</v>
      </c>
      <c r="B61" t="s">
        <v>386</v>
      </c>
      <c r="C61" t="s">
        <v>352</v>
      </c>
      <c r="D61" t="s">
        <v>17</v>
      </c>
      <c r="E61" t="s">
        <v>18</v>
      </c>
      <c r="F61" t="s">
        <v>387</v>
      </c>
      <c r="G61" t="s">
        <v>19</v>
      </c>
      <c r="H61" t="s">
        <v>290</v>
      </c>
      <c r="I61" s="2">
        <v>45382</v>
      </c>
      <c r="J61" s="2">
        <v>45504</v>
      </c>
      <c r="K61" t="str">
        <f>VLOOKUP(B61,'20April'!B:G,6,0)</f>
        <v>Have records but not submitted</v>
      </c>
    </row>
    <row r="62" spans="1:11" x14ac:dyDescent="0.25">
      <c r="A62">
        <v>182</v>
      </c>
      <c r="B62" t="s">
        <v>390</v>
      </c>
      <c r="C62" t="s">
        <v>352</v>
      </c>
      <c r="D62" t="s">
        <v>17</v>
      </c>
      <c r="E62" t="s">
        <v>18</v>
      </c>
      <c r="F62" t="s">
        <v>391</v>
      </c>
      <c r="G62" t="s">
        <v>19</v>
      </c>
      <c r="H62" t="s">
        <v>290</v>
      </c>
      <c r="I62" s="2">
        <v>45382</v>
      </c>
      <c r="J62" s="2">
        <v>45504</v>
      </c>
      <c r="K62" t="str">
        <f>VLOOKUP(B62,'20April'!B:G,6,0)</f>
        <v>Have records but not submitted</v>
      </c>
    </row>
    <row r="63" spans="1:11" x14ac:dyDescent="0.25">
      <c r="A63">
        <v>183</v>
      </c>
      <c r="B63" t="s">
        <v>392</v>
      </c>
      <c r="C63" t="s">
        <v>352</v>
      </c>
      <c r="D63" t="s">
        <v>17</v>
      </c>
      <c r="E63" t="s">
        <v>18</v>
      </c>
      <c r="F63" t="s">
        <v>393</v>
      </c>
      <c r="G63" t="s">
        <v>19</v>
      </c>
      <c r="H63" t="s">
        <v>290</v>
      </c>
      <c r="I63" s="2">
        <v>45382</v>
      </c>
      <c r="J63" s="2">
        <v>45504</v>
      </c>
      <c r="K63" t="str">
        <f>VLOOKUP(B63,'20April'!B:G,6,0)</f>
        <v>Have records but not submitted</v>
      </c>
    </row>
    <row r="64" spans="1:11" x14ac:dyDescent="0.25">
      <c r="A64">
        <v>184</v>
      </c>
      <c r="B64" t="s">
        <v>394</v>
      </c>
      <c r="C64" t="s">
        <v>352</v>
      </c>
      <c r="D64" t="s">
        <v>17</v>
      </c>
      <c r="E64" t="s">
        <v>18</v>
      </c>
      <c r="F64" t="s">
        <v>395</v>
      </c>
      <c r="G64" t="s">
        <v>19</v>
      </c>
      <c r="H64" t="s">
        <v>290</v>
      </c>
      <c r="I64" s="2">
        <v>45382</v>
      </c>
      <c r="J64" s="2">
        <v>45504</v>
      </c>
      <c r="K64" t="str">
        <f>VLOOKUP(B64,'20April'!B:G,6,0)</f>
        <v>Have records but not submitted</v>
      </c>
    </row>
    <row r="65" spans="1:11" x14ac:dyDescent="0.25">
      <c r="A65">
        <v>185</v>
      </c>
      <c r="B65" t="s">
        <v>396</v>
      </c>
      <c r="C65" t="s">
        <v>352</v>
      </c>
      <c r="D65" t="s">
        <v>17</v>
      </c>
      <c r="E65" t="s">
        <v>18</v>
      </c>
      <c r="F65" t="s">
        <v>397</v>
      </c>
      <c r="G65" t="s">
        <v>19</v>
      </c>
      <c r="H65" t="s">
        <v>290</v>
      </c>
      <c r="I65" s="2">
        <v>45382</v>
      </c>
      <c r="J65" s="2">
        <v>45504</v>
      </c>
      <c r="K65" t="str">
        <f>VLOOKUP(B65,'20April'!B:G,6,0)</f>
        <v>Have records but not submitted</v>
      </c>
    </row>
    <row r="66" spans="1:11" x14ac:dyDescent="0.25">
      <c r="A66">
        <v>186</v>
      </c>
      <c r="B66" t="s">
        <v>398</v>
      </c>
      <c r="C66" t="s">
        <v>352</v>
      </c>
      <c r="D66" t="s">
        <v>17</v>
      </c>
      <c r="E66" t="s">
        <v>18</v>
      </c>
      <c r="F66" t="s">
        <v>399</v>
      </c>
      <c r="G66" t="s">
        <v>19</v>
      </c>
      <c r="H66" t="s">
        <v>290</v>
      </c>
      <c r="I66" s="2">
        <v>45382</v>
      </c>
      <c r="J66" s="2">
        <v>45504</v>
      </c>
      <c r="K66" t="str">
        <f>VLOOKUP(B66,'20April'!B:G,6,0)</f>
        <v>Have records but not submitted</v>
      </c>
    </row>
    <row r="67" spans="1:11" x14ac:dyDescent="0.25">
      <c r="A67">
        <v>165</v>
      </c>
      <c r="B67" t="s">
        <v>356</v>
      </c>
      <c r="C67" t="s">
        <v>352</v>
      </c>
      <c r="D67" t="s">
        <v>11</v>
      </c>
      <c r="E67" t="s">
        <v>12</v>
      </c>
      <c r="F67" t="s">
        <v>357</v>
      </c>
      <c r="G67" t="s">
        <v>13</v>
      </c>
      <c r="H67" t="s">
        <v>290</v>
      </c>
      <c r="K67" t="str">
        <f>VLOOKUP(B67,'20April'!B:G,6,0)</f>
        <v>No records</v>
      </c>
    </row>
    <row r="68" spans="1:11" x14ac:dyDescent="0.25">
      <c r="A68">
        <v>168</v>
      </c>
      <c r="B68" t="s">
        <v>362</v>
      </c>
      <c r="C68" t="s">
        <v>352</v>
      </c>
      <c r="D68" t="s">
        <v>11</v>
      </c>
      <c r="E68" t="s">
        <v>12</v>
      </c>
      <c r="F68" t="s">
        <v>363</v>
      </c>
      <c r="G68" t="s">
        <v>13</v>
      </c>
      <c r="H68" t="s">
        <v>290</v>
      </c>
      <c r="K68" t="str">
        <f>VLOOKUP(B68,'20April'!B:G,6,0)</f>
        <v>No records</v>
      </c>
    </row>
    <row r="69" spans="1:11" x14ac:dyDescent="0.25">
      <c r="A69">
        <v>173</v>
      </c>
      <c r="B69" t="s">
        <v>372</v>
      </c>
      <c r="C69" t="s">
        <v>352</v>
      </c>
      <c r="D69" t="s">
        <v>11</v>
      </c>
      <c r="E69" t="s">
        <v>12</v>
      </c>
      <c r="F69" t="s">
        <v>373</v>
      </c>
      <c r="G69" t="s">
        <v>13</v>
      </c>
      <c r="H69" t="s">
        <v>290</v>
      </c>
      <c r="K69" t="str">
        <f>VLOOKUP(B69,'20April'!B:G,6,0)</f>
        <v>No records</v>
      </c>
    </row>
    <row r="70" spans="1:11" x14ac:dyDescent="0.25">
      <c r="A70">
        <v>179</v>
      </c>
      <c r="B70" t="s">
        <v>384</v>
      </c>
      <c r="C70" t="s">
        <v>352</v>
      </c>
      <c r="D70" t="s">
        <v>11</v>
      </c>
      <c r="E70" t="s">
        <v>12</v>
      </c>
      <c r="F70" t="s">
        <v>385</v>
      </c>
      <c r="G70" t="s">
        <v>13</v>
      </c>
      <c r="H70" t="s">
        <v>290</v>
      </c>
      <c r="K70" t="str">
        <f>VLOOKUP(B70,'20April'!B:G,6,0)</f>
        <v>No records</v>
      </c>
    </row>
    <row r="71" spans="1:11" x14ac:dyDescent="0.25">
      <c r="A71">
        <v>181</v>
      </c>
      <c r="B71" t="s">
        <v>388</v>
      </c>
      <c r="C71" t="s">
        <v>352</v>
      </c>
      <c r="D71" t="s">
        <v>11</v>
      </c>
      <c r="E71" t="s">
        <v>12</v>
      </c>
      <c r="F71" t="s">
        <v>389</v>
      </c>
      <c r="G71" t="s">
        <v>13</v>
      </c>
      <c r="H71" t="s">
        <v>290</v>
      </c>
      <c r="K71" t="str">
        <f>VLOOKUP(B71,'20April'!B:G,6,0)</f>
        <v>No records</v>
      </c>
    </row>
    <row r="72" spans="1:11" x14ac:dyDescent="0.25">
      <c r="A72">
        <v>18</v>
      </c>
      <c r="B72" t="s">
        <v>59</v>
      </c>
      <c r="C72" t="s">
        <v>60</v>
      </c>
      <c r="D72" t="s">
        <v>57</v>
      </c>
      <c r="E72" t="s">
        <v>58</v>
      </c>
      <c r="G72" t="s">
        <v>54</v>
      </c>
      <c r="H72" t="s">
        <v>14</v>
      </c>
      <c r="K72" t="str">
        <f>VLOOKUP(B72,'20April'!B:G,6,0)</f>
        <v>Have records and have submitted</v>
      </c>
    </row>
    <row r="73" spans="1:11" x14ac:dyDescent="0.25">
      <c r="A73">
        <v>19</v>
      </c>
      <c r="B73" t="s">
        <v>61</v>
      </c>
      <c r="C73" s="3" t="s">
        <v>62</v>
      </c>
      <c r="D73" t="s">
        <v>57</v>
      </c>
      <c r="E73" t="s">
        <v>58</v>
      </c>
      <c r="G73" t="s">
        <v>54</v>
      </c>
      <c r="H73" t="s">
        <v>14</v>
      </c>
      <c r="K73" t="str">
        <f>VLOOKUP(B73,'20April'!B:G,6,0)</f>
        <v>Have records but not submitted</v>
      </c>
    </row>
    <row r="74" spans="1:11" x14ac:dyDescent="0.25">
      <c r="A74">
        <v>20</v>
      </c>
      <c r="B74" t="s">
        <v>63</v>
      </c>
      <c r="C74" s="3" t="s">
        <v>64</v>
      </c>
      <c r="D74" t="s">
        <v>57</v>
      </c>
      <c r="E74" t="s">
        <v>58</v>
      </c>
      <c r="G74" t="s">
        <v>54</v>
      </c>
      <c r="H74" t="s">
        <v>14</v>
      </c>
      <c r="K74" t="str">
        <f>VLOOKUP(B74,'20April'!B:G,6,0)</f>
        <v>Have records but not submitted</v>
      </c>
    </row>
    <row r="75" spans="1:11" x14ac:dyDescent="0.25">
      <c r="A75">
        <v>21</v>
      </c>
      <c r="B75" t="s">
        <v>65</v>
      </c>
      <c r="C75" t="s">
        <v>66</v>
      </c>
      <c r="D75" t="s">
        <v>11</v>
      </c>
      <c r="E75" t="s">
        <v>12</v>
      </c>
      <c r="G75" t="s">
        <v>13</v>
      </c>
      <c r="H75" t="s">
        <v>14</v>
      </c>
      <c r="K75" t="str">
        <f>VLOOKUP(B75,'20April'!B:G,6,0)</f>
        <v>No records</v>
      </c>
    </row>
    <row r="76" spans="1:11" x14ac:dyDescent="0.25">
      <c r="A76">
        <v>22</v>
      </c>
      <c r="B76" t="s">
        <v>67</v>
      </c>
      <c r="C76" t="s">
        <v>68</v>
      </c>
      <c r="D76" t="s">
        <v>11</v>
      </c>
      <c r="E76" t="s">
        <v>12</v>
      </c>
      <c r="G76" t="s">
        <v>13</v>
      </c>
      <c r="H76" t="s">
        <v>14</v>
      </c>
      <c r="K76" t="str">
        <f>VLOOKUP(B76,'20April'!B:G,6,0)</f>
        <v>No records</v>
      </c>
    </row>
    <row r="77" spans="1:11" x14ac:dyDescent="0.25">
      <c r="A77">
        <v>23</v>
      </c>
      <c r="B77" t="s">
        <v>69</v>
      </c>
      <c r="C77" t="s">
        <v>70</v>
      </c>
      <c r="D77" t="s">
        <v>11</v>
      </c>
      <c r="E77" t="s">
        <v>12</v>
      </c>
      <c r="G77" t="s">
        <v>13</v>
      </c>
      <c r="H77" t="s">
        <v>14</v>
      </c>
      <c r="K77" t="str">
        <f>VLOOKUP(B77,'20April'!B:G,6,0)</f>
        <v>No records</v>
      </c>
    </row>
    <row r="78" spans="1:11" x14ac:dyDescent="0.25">
      <c r="A78">
        <v>24</v>
      </c>
      <c r="B78" t="s">
        <v>71</v>
      </c>
      <c r="C78" s="3" t="s">
        <v>72</v>
      </c>
      <c r="D78" t="s">
        <v>57</v>
      </c>
      <c r="E78" t="s">
        <v>58</v>
      </c>
      <c r="G78" t="s">
        <v>54</v>
      </c>
      <c r="H78" t="s">
        <v>14</v>
      </c>
      <c r="K78" t="str">
        <f>VLOOKUP(B78,'20April'!B:G,6,0)</f>
        <v>Have records but not submitted</v>
      </c>
    </row>
    <row r="79" spans="1:11" x14ac:dyDescent="0.25">
      <c r="A79">
        <v>25</v>
      </c>
      <c r="B79" t="s">
        <v>73</v>
      </c>
      <c r="C79" s="3" t="s">
        <v>74</v>
      </c>
      <c r="D79" t="s">
        <v>57</v>
      </c>
      <c r="E79" t="s">
        <v>58</v>
      </c>
      <c r="G79" t="s">
        <v>54</v>
      </c>
      <c r="H79" t="s">
        <v>14</v>
      </c>
      <c r="K79" t="str">
        <f>VLOOKUP(B79,'20April'!B:G,6,0)</f>
        <v>Have records but not submitted</v>
      </c>
    </row>
    <row r="80" spans="1:11" x14ac:dyDescent="0.25">
      <c r="A80">
        <v>26</v>
      </c>
      <c r="B80" t="s">
        <v>75</v>
      </c>
      <c r="C80" t="s">
        <v>76</v>
      </c>
      <c r="D80" t="s">
        <v>11</v>
      </c>
      <c r="E80" t="s">
        <v>12</v>
      </c>
      <c r="G80" t="s">
        <v>13</v>
      </c>
      <c r="H80" t="s">
        <v>14</v>
      </c>
      <c r="K80" t="str">
        <f>VLOOKUP(B80,'20April'!B:G,6,0)</f>
        <v>No records</v>
      </c>
    </row>
    <row r="81" spans="1:11" x14ac:dyDescent="0.25">
      <c r="A81">
        <v>27</v>
      </c>
      <c r="B81" t="s">
        <v>77</v>
      </c>
      <c r="C81" t="s">
        <v>78</v>
      </c>
      <c r="D81" t="s">
        <v>11</v>
      </c>
      <c r="E81" t="s">
        <v>12</v>
      </c>
      <c r="G81" t="s">
        <v>13</v>
      </c>
      <c r="H81" t="s">
        <v>14</v>
      </c>
      <c r="K81" t="str">
        <f>VLOOKUP(B81,'20April'!B:G,6,0)</f>
        <v>No records</v>
      </c>
    </row>
    <row r="82" spans="1:11" x14ac:dyDescent="0.25">
      <c r="A82">
        <v>28</v>
      </c>
      <c r="B82" t="s">
        <v>79</v>
      </c>
      <c r="C82" t="s">
        <v>80</v>
      </c>
      <c r="D82" t="s">
        <v>11</v>
      </c>
      <c r="E82" t="s">
        <v>12</v>
      </c>
      <c r="G82" t="s">
        <v>13</v>
      </c>
      <c r="H82" t="s">
        <v>14</v>
      </c>
      <c r="K82" t="str">
        <f>VLOOKUP(B82,'20April'!B:G,6,0)</f>
        <v>No records</v>
      </c>
    </row>
    <row r="83" spans="1:11" x14ac:dyDescent="0.25">
      <c r="A83">
        <v>29</v>
      </c>
      <c r="B83" t="s">
        <v>81</v>
      </c>
      <c r="C83" s="3" t="s">
        <v>82</v>
      </c>
      <c r="D83" t="s">
        <v>57</v>
      </c>
      <c r="E83" t="s">
        <v>58</v>
      </c>
      <c r="G83" t="s">
        <v>54</v>
      </c>
      <c r="H83" t="s">
        <v>14</v>
      </c>
      <c r="K83" t="str">
        <f>VLOOKUP(B83,'20April'!B:G,6,0)</f>
        <v>Have records but not submitted</v>
      </c>
    </row>
    <row r="84" spans="1:11" x14ac:dyDescent="0.25">
      <c r="A84">
        <v>30</v>
      </c>
      <c r="B84" t="s">
        <v>83</v>
      </c>
      <c r="C84" t="s">
        <v>84</v>
      </c>
      <c r="D84" t="s">
        <v>11</v>
      </c>
      <c r="E84" t="s">
        <v>12</v>
      </c>
      <c r="G84" t="s">
        <v>13</v>
      </c>
      <c r="H84" t="s">
        <v>14</v>
      </c>
      <c r="K84" t="str">
        <f>VLOOKUP(B84,'20April'!B:G,6,0)</f>
        <v>No records</v>
      </c>
    </row>
    <row r="85" spans="1:11" x14ac:dyDescent="0.25">
      <c r="A85">
        <v>31</v>
      </c>
      <c r="B85" t="s">
        <v>85</v>
      </c>
      <c r="C85" t="s">
        <v>86</v>
      </c>
      <c r="D85" t="s">
        <v>11</v>
      </c>
      <c r="E85" t="s">
        <v>12</v>
      </c>
      <c r="G85" t="s">
        <v>13</v>
      </c>
      <c r="H85" t="s">
        <v>14</v>
      </c>
      <c r="K85" t="str">
        <f>VLOOKUP(B85,'20April'!B:G,6,0)</f>
        <v>No records</v>
      </c>
    </row>
    <row r="86" spans="1:11" x14ac:dyDescent="0.25">
      <c r="A86">
        <v>32</v>
      </c>
      <c r="B86" t="s">
        <v>87</v>
      </c>
      <c r="C86" t="s">
        <v>88</v>
      </c>
      <c r="D86" t="s">
        <v>17</v>
      </c>
      <c r="E86" t="s">
        <v>18</v>
      </c>
      <c r="G86" t="s">
        <v>19</v>
      </c>
      <c r="H86" t="s">
        <v>14</v>
      </c>
      <c r="I86" s="2">
        <v>45382</v>
      </c>
      <c r="J86" s="2">
        <v>45504</v>
      </c>
      <c r="K86" t="str">
        <f>VLOOKUP(B86,'20April'!B:G,6,0)</f>
        <v>Have records but not submitted</v>
      </c>
    </row>
    <row r="87" spans="1:11" x14ac:dyDescent="0.25">
      <c r="A87">
        <v>33</v>
      </c>
      <c r="B87" t="s">
        <v>89</v>
      </c>
      <c r="C87" t="s">
        <v>90</v>
      </c>
      <c r="D87" t="s">
        <v>22</v>
      </c>
      <c r="E87" t="s">
        <v>23</v>
      </c>
      <c r="G87" t="s">
        <v>19</v>
      </c>
      <c r="H87" t="s">
        <v>14</v>
      </c>
      <c r="I87" s="2">
        <v>45291</v>
      </c>
      <c r="J87" s="2">
        <v>45412</v>
      </c>
      <c r="K87" t="str">
        <f>VLOOKUP(B87,'20April'!B:G,6,0)</f>
        <v>Have records but not submitted</v>
      </c>
    </row>
    <row r="88" spans="1:11" x14ac:dyDescent="0.25">
      <c r="A88">
        <v>34</v>
      </c>
      <c r="B88" t="s">
        <v>91</v>
      </c>
      <c r="C88" t="s">
        <v>92</v>
      </c>
      <c r="D88" t="s">
        <v>11</v>
      </c>
      <c r="E88" t="s">
        <v>12</v>
      </c>
      <c r="G88" t="s">
        <v>13</v>
      </c>
      <c r="H88" t="s">
        <v>14</v>
      </c>
      <c r="K88" t="str">
        <f>VLOOKUP(B88,'20April'!B:G,6,0)</f>
        <v>No records</v>
      </c>
    </row>
    <row r="89" spans="1:11" x14ac:dyDescent="0.25">
      <c r="A89">
        <v>187</v>
      </c>
      <c r="B89" t="s">
        <v>400</v>
      </c>
      <c r="C89" t="s">
        <v>401</v>
      </c>
      <c r="D89" t="s">
        <v>17</v>
      </c>
      <c r="E89" t="s">
        <v>18</v>
      </c>
      <c r="F89" t="s">
        <v>402</v>
      </c>
      <c r="G89" t="s">
        <v>19</v>
      </c>
      <c r="H89" t="s">
        <v>290</v>
      </c>
      <c r="I89" s="2">
        <v>45382</v>
      </c>
      <c r="J89" s="2">
        <v>45504</v>
      </c>
      <c r="K89" t="str">
        <f>VLOOKUP(B89,'20April'!B:G,6,0)</f>
        <v>Have records but not submitted</v>
      </c>
    </row>
    <row r="90" spans="1:11" x14ac:dyDescent="0.25">
      <c r="A90">
        <v>188</v>
      </c>
      <c r="B90" t="s">
        <v>403</v>
      </c>
      <c r="C90" t="s">
        <v>401</v>
      </c>
      <c r="D90" t="s">
        <v>17</v>
      </c>
      <c r="E90" t="s">
        <v>18</v>
      </c>
      <c r="F90" t="s">
        <v>404</v>
      </c>
      <c r="G90" t="s">
        <v>19</v>
      </c>
      <c r="H90" t="s">
        <v>290</v>
      </c>
      <c r="I90" s="2">
        <v>45382</v>
      </c>
      <c r="J90" s="2">
        <v>45504</v>
      </c>
      <c r="K90" t="str">
        <f>VLOOKUP(B90,'20April'!B:G,6,0)</f>
        <v>Have records but not submitted</v>
      </c>
    </row>
    <row r="91" spans="1:11" x14ac:dyDescent="0.25">
      <c r="A91">
        <v>35</v>
      </c>
      <c r="B91" t="s">
        <v>93</v>
      </c>
      <c r="C91" t="s">
        <v>94</v>
      </c>
      <c r="D91" t="s">
        <v>17</v>
      </c>
      <c r="E91" t="s">
        <v>18</v>
      </c>
      <c r="G91" t="s">
        <v>19</v>
      </c>
      <c r="H91" t="s">
        <v>14</v>
      </c>
      <c r="I91" s="2">
        <v>45382</v>
      </c>
      <c r="J91" s="2">
        <v>45504</v>
      </c>
      <c r="K91" t="str">
        <f>VLOOKUP(B91,'20April'!B:G,6,0)</f>
        <v>Have records but not submitted</v>
      </c>
    </row>
    <row r="92" spans="1:11" x14ac:dyDescent="0.25">
      <c r="A92">
        <v>189</v>
      </c>
      <c r="B92" t="s">
        <v>405</v>
      </c>
      <c r="C92" t="s">
        <v>406</v>
      </c>
      <c r="D92" t="s">
        <v>17</v>
      </c>
      <c r="E92" t="s">
        <v>18</v>
      </c>
      <c r="F92" t="s">
        <v>407</v>
      </c>
      <c r="G92" t="s">
        <v>19</v>
      </c>
      <c r="H92" t="s">
        <v>290</v>
      </c>
      <c r="I92" s="2">
        <v>45382</v>
      </c>
      <c r="J92" s="2">
        <v>45504</v>
      </c>
      <c r="K92" t="str">
        <f>VLOOKUP(B92,'20April'!B:G,6,0)</f>
        <v>Have records but not submitted</v>
      </c>
    </row>
    <row r="93" spans="1:11" x14ac:dyDescent="0.25">
      <c r="A93">
        <v>190</v>
      </c>
      <c r="B93" t="s">
        <v>408</v>
      </c>
      <c r="C93" t="s">
        <v>406</v>
      </c>
      <c r="D93" t="s">
        <v>17</v>
      </c>
      <c r="E93" t="s">
        <v>18</v>
      </c>
      <c r="F93" t="s">
        <v>409</v>
      </c>
      <c r="G93" t="s">
        <v>19</v>
      </c>
      <c r="H93" t="s">
        <v>290</v>
      </c>
      <c r="I93" s="2">
        <v>45382</v>
      </c>
      <c r="J93" s="2">
        <v>45504</v>
      </c>
      <c r="K93" t="str">
        <f>VLOOKUP(B93,'20April'!B:G,6,0)</f>
        <v>Have records but not submitted</v>
      </c>
    </row>
    <row r="94" spans="1:11" x14ac:dyDescent="0.25">
      <c r="A94">
        <v>191</v>
      </c>
      <c r="B94" t="s">
        <v>410</v>
      </c>
      <c r="C94" t="s">
        <v>406</v>
      </c>
      <c r="D94" t="s">
        <v>17</v>
      </c>
      <c r="E94" t="s">
        <v>18</v>
      </c>
      <c r="F94" t="s">
        <v>411</v>
      </c>
      <c r="G94" t="s">
        <v>19</v>
      </c>
      <c r="H94" t="s">
        <v>290</v>
      </c>
      <c r="I94" s="2">
        <v>45382</v>
      </c>
      <c r="J94" s="2">
        <v>45504</v>
      </c>
      <c r="K94" t="str">
        <f>VLOOKUP(B94,'20April'!B:G,6,0)</f>
        <v>Have records but not submitted</v>
      </c>
    </row>
    <row r="95" spans="1:11" x14ac:dyDescent="0.25">
      <c r="A95">
        <v>192</v>
      </c>
      <c r="B95" t="s">
        <v>412</v>
      </c>
      <c r="C95" t="s">
        <v>406</v>
      </c>
      <c r="D95" t="s">
        <v>17</v>
      </c>
      <c r="E95" t="s">
        <v>18</v>
      </c>
      <c r="F95" t="s">
        <v>413</v>
      </c>
      <c r="G95" t="s">
        <v>19</v>
      </c>
      <c r="H95" t="s">
        <v>290</v>
      </c>
      <c r="I95" s="2">
        <v>45382</v>
      </c>
      <c r="J95" s="2">
        <v>45504</v>
      </c>
      <c r="K95" t="str">
        <f>VLOOKUP(B95,'20April'!B:G,6,0)</f>
        <v>Have records but not submitted</v>
      </c>
    </row>
    <row r="96" spans="1:11" x14ac:dyDescent="0.25">
      <c r="A96">
        <v>193</v>
      </c>
      <c r="B96" t="s">
        <v>414</v>
      </c>
      <c r="C96" t="s">
        <v>406</v>
      </c>
      <c r="D96" t="s">
        <v>17</v>
      </c>
      <c r="E96" t="s">
        <v>18</v>
      </c>
      <c r="F96" t="s">
        <v>415</v>
      </c>
      <c r="G96" t="s">
        <v>19</v>
      </c>
      <c r="H96" t="s">
        <v>290</v>
      </c>
      <c r="I96" s="2">
        <v>45382</v>
      </c>
      <c r="J96" s="2">
        <v>45504</v>
      </c>
      <c r="K96" t="str">
        <f>VLOOKUP(B96,'20April'!B:G,6,0)</f>
        <v>Have records but not submitted</v>
      </c>
    </row>
    <row r="97" spans="1:11" x14ac:dyDescent="0.25">
      <c r="A97">
        <v>194</v>
      </c>
      <c r="B97" t="s">
        <v>416</v>
      </c>
      <c r="C97" t="s">
        <v>406</v>
      </c>
      <c r="D97" t="s">
        <v>17</v>
      </c>
      <c r="E97" t="s">
        <v>18</v>
      </c>
      <c r="F97" t="s">
        <v>417</v>
      </c>
      <c r="G97" t="s">
        <v>19</v>
      </c>
      <c r="H97" t="s">
        <v>290</v>
      </c>
      <c r="I97" s="2">
        <v>45382</v>
      </c>
      <c r="J97" s="2">
        <v>45504</v>
      </c>
      <c r="K97" t="str">
        <f>VLOOKUP(B97,'20April'!B:G,6,0)</f>
        <v>Have records but not submitted</v>
      </c>
    </row>
    <row r="98" spans="1:11" x14ac:dyDescent="0.25">
      <c r="A98">
        <v>195</v>
      </c>
      <c r="B98" t="s">
        <v>418</v>
      </c>
      <c r="C98" t="s">
        <v>406</v>
      </c>
      <c r="D98" t="s">
        <v>11</v>
      </c>
      <c r="E98" t="s">
        <v>12</v>
      </c>
      <c r="F98" t="s">
        <v>419</v>
      </c>
      <c r="G98" t="s">
        <v>13</v>
      </c>
      <c r="H98" t="s">
        <v>290</v>
      </c>
      <c r="K98" t="str">
        <f>VLOOKUP(B98,'20April'!B:G,6,0)</f>
        <v>No records</v>
      </c>
    </row>
    <row r="99" spans="1:11" x14ac:dyDescent="0.25">
      <c r="A99">
        <v>36</v>
      </c>
      <c r="B99" t="s">
        <v>95</v>
      </c>
      <c r="C99" t="s">
        <v>96</v>
      </c>
      <c r="D99" t="s">
        <v>11</v>
      </c>
      <c r="E99" t="s">
        <v>12</v>
      </c>
      <c r="G99" t="s">
        <v>13</v>
      </c>
      <c r="H99" t="s">
        <v>14</v>
      </c>
      <c r="K99" t="str">
        <f>VLOOKUP(B99,'20April'!B:G,6,0)</f>
        <v>No records</v>
      </c>
    </row>
    <row r="100" spans="1:11" x14ac:dyDescent="0.25">
      <c r="A100">
        <v>37</v>
      </c>
      <c r="B100" t="s">
        <v>97</v>
      </c>
      <c r="C100" t="s">
        <v>98</v>
      </c>
      <c r="D100" t="s">
        <v>11</v>
      </c>
      <c r="E100" t="s">
        <v>12</v>
      </c>
      <c r="G100" t="s">
        <v>13</v>
      </c>
      <c r="H100" t="s">
        <v>14</v>
      </c>
      <c r="K100" t="str">
        <f>VLOOKUP(B100,'20April'!B:G,6,0)</f>
        <v>No records</v>
      </c>
    </row>
    <row r="101" spans="1:11" x14ac:dyDescent="0.25">
      <c r="A101">
        <v>38</v>
      </c>
      <c r="B101" t="s">
        <v>99</v>
      </c>
      <c r="C101" t="s">
        <v>100</v>
      </c>
      <c r="D101" t="s">
        <v>17</v>
      </c>
      <c r="E101" t="s">
        <v>18</v>
      </c>
      <c r="G101" t="s">
        <v>19</v>
      </c>
      <c r="H101" t="s">
        <v>14</v>
      </c>
      <c r="I101" s="2">
        <v>45382</v>
      </c>
      <c r="J101" s="2">
        <v>45504</v>
      </c>
      <c r="K101" t="str">
        <f>VLOOKUP(B101,'20April'!B:G,6,0)</f>
        <v>Have records but not submitted</v>
      </c>
    </row>
    <row r="102" spans="1:11" x14ac:dyDescent="0.25">
      <c r="A102">
        <v>39</v>
      </c>
      <c r="B102" t="s">
        <v>101</v>
      </c>
      <c r="C102" t="s">
        <v>102</v>
      </c>
      <c r="D102" t="s">
        <v>11</v>
      </c>
      <c r="E102" t="s">
        <v>12</v>
      </c>
      <c r="G102" t="s">
        <v>13</v>
      </c>
      <c r="H102" t="s">
        <v>14</v>
      </c>
      <c r="K102" t="str">
        <f>VLOOKUP(B102,'20April'!B:G,6,0)</f>
        <v>No records</v>
      </c>
    </row>
    <row r="103" spans="1:11" x14ac:dyDescent="0.25">
      <c r="A103">
        <v>40</v>
      </c>
      <c r="B103" t="s">
        <v>561</v>
      </c>
      <c r="C103" t="s">
        <v>562</v>
      </c>
      <c r="D103" t="s">
        <v>11</v>
      </c>
      <c r="E103" t="s">
        <v>12</v>
      </c>
      <c r="G103" t="s">
        <v>13</v>
      </c>
      <c r="H103" t="s">
        <v>14</v>
      </c>
      <c r="K103" t="e">
        <f>VLOOKUP(B103,'20April'!B:G,6,0)</f>
        <v>#N/A</v>
      </c>
    </row>
    <row r="104" spans="1:11" x14ac:dyDescent="0.25">
      <c r="A104">
        <v>41</v>
      </c>
      <c r="B104" t="s">
        <v>103</v>
      </c>
      <c r="C104" t="s">
        <v>104</v>
      </c>
      <c r="D104" t="s">
        <v>11</v>
      </c>
      <c r="E104" t="s">
        <v>12</v>
      </c>
      <c r="G104" t="s">
        <v>13</v>
      </c>
      <c r="H104" t="s">
        <v>14</v>
      </c>
      <c r="K104" t="str">
        <f>VLOOKUP(B104,'20April'!B:G,6,0)</f>
        <v>No records</v>
      </c>
    </row>
    <row r="105" spans="1:11" x14ac:dyDescent="0.25">
      <c r="A105">
        <v>196</v>
      </c>
      <c r="B105" t="s">
        <v>420</v>
      </c>
      <c r="C105" t="s">
        <v>421</v>
      </c>
      <c r="D105" t="s">
        <v>17</v>
      </c>
      <c r="E105" t="s">
        <v>18</v>
      </c>
      <c r="F105" t="s">
        <v>422</v>
      </c>
      <c r="G105" t="s">
        <v>19</v>
      </c>
      <c r="H105" t="s">
        <v>290</v>
      </c>
      <c r="I105" s="2">
        <v>45382</v>
      </c>
      <c r="J105" s="2">
        <v>45504</v>
      </c>
      <c r="K105" t="str">
        <f>VLOOKUP(B105,'20April'!B:G,6,0)</f>
        <v>Have records but not submitted</v>
      </c>
    </row>
    <row r="106" spans="1:11" x14ac:dyDescent="0.25">
      <c r="A106">
        <v>197</v>
      </c>
      <c r="B106" t="s">
        <v>423</v>
      </c>
      <c r="C106" t="s">
        <v>421</v>
      </c>
      <c r="D106" t="s">
        <v>17</v>
      </c>
      <c r="E106" t="s">
        <v>18</v>
      </c>
      <c r="F106" t="s">
        <v>424</v>
      </c>
      <c r="G106" t="s">
        <v>19</v>
      </c>
      <c r="H106" t="s">
        <v>290</v>
      </c>
      <c r="I106" s="2">
        <v>45382</v>
      </c>
      <c r="J106" s="2">
        <v>45504</v>
      </c>
      <c r="K106" t="str">
        <f>VLOOKUP(B106,'20April'!B:G,6,0)</f>
        <v>Have records but not submitted</v>
      </c>
    </row>
    <row r="107" spans="1:11" x14ac:dyDescent="0.25">
      <c r="A107">
        <v>198</v>
      </c>
      <c r="B107" t="s">
        <v>425</v>
      </c>
      <c r="C107" t="s">
        <v>421</v>
      </c>
      <c r="D107" t="s">
        <v>17</v>
      </c>
      <c r="E107" t="s">
        <v>18</v>
      </c>
      <c r="F107" t="s">
        <v>426</v>
      </c>
      <c r="G107" t="s">
        <v>19</v>
      </c>
      <c r="H107" t="s">
        <v>290</v>
      </c>
      <c r="I107" s="2">
        <v>45382</v>
      </c>
      <c r="J107" s="2">
        <v>45504</v>
      </c>
      <c r="K107" t="str">
        <f>VLOOKUP(B107,'20April'!B:G,6,0)</f>
        <v>Have records but not submitted</v>
      </c>
    </row>
    <row r="108" spans="1:11" x14ac:dyDescent="0.25">
      <c r="A108">
        <v>199</v>
      </c>
      <c r="B108" t="s">
        <v>427</v>
      </c>
      <c r="C108" t="s">
        <v>421</v>
      </c>
      <c r="D108" t="s">
        <v>17</v>
      </c>
      <c r="E108" t="s">
        <v>18</v>
      </c>
      <c r="F108" t="s">
        <v>428</v>
      </c>
      <c r="G108" t="s">
        <v>19</v>
      </c>
      <c r="H108" t="s">
        <v>290</v>
      </c>
      <c r="I108" s="2">
        <v>45382</v>
      </c>
      <c r="J108" s="2">
        <v>45504</v>
      </c>
      <c r="K108" t="str">
        <f>VLOOKUP(B108,'20April'!B:G,6,0)</f>
        <v>Have records but not submitted</v>
      </c>
    </row>
    <row r="109" spans="1:11" x14ac:dyDescent="0.25">
      <c r="A109">
        <v>200</v>
      </c>
      <c r="B109" t="s">
        <v>429</v>
      </c>
      <c r="C109" t="s">
        <v>421</v>
      </c>
      <c r="D109" t="s">
        <v>17</v>
      </c>
      <c r="E109" t="s">
        <v>18</v>
      </c>
      <c r="F109" t="s">
        <v>430</v>
      </c>
      <c r="G109" t="s">
        <v>19</v>
      </c>
      <c r="H109" t="s">
        <v>290</v>
      </c>
      <c r="I109" s="2">
        <v>45382</v>
      </c>
      <c r="J109" s="2">
        <v>45504</v>
      </c>
      <c r="K109" t="str">
        <f>VLOOKUP(B109,'20April'!B:G,6,0)</f>
        <v>Have records but not submitted</v>
      </c>
    </row>
    <row r="110" spans="1:11" x14ac:dyDescent="0.25">
      <c r="A110">
        <v>201</v>
      </c>
      <c r="B110" t="s">
        <v>431</v>
      </c>
      <c r="C110" t="s">
        <v>421</v>
      </c>
      <c r="D110" t="s">
        <v>17</v>
      </c>
      <c r="E110" t="s">
        <v>18</v>
      </c>
      <c r="F110" t="s">
        <v>432</v>
      </c>
      <c r="G110" t="s">
        <v>19</v>
      </c>
      <c r="H110" t="s">
        <v>290</v>
      </c>
      <c r="I110" s="2">
        <v>45382</v>
      </c>
      <c r="J110" s="2">
        <v>45504</v>
      </c>
      <c r="K110" t="str">
        <f>VLOOKUP(B110,'20April'!B:G,6,0)</f>
        <v>Have records but not submitted</v>
      </c>
    </row>
    <row r="111" spans="1:11" x14ac:dyDescent="0.25">
      <c r="A111">
        <v>202</v>
      </c>
      <c r="B111" t="s">
        <v>433</v>
      </c>
      <c r="C111" t="s">
        <v>421</v>
      </c>
      <c r="D111" t="s">
        <v>17</v>
      </c>
      <c r="E111" t="s">
        <v>18</v>
      </c>
      <c r="F111" t="s">
        <v>434</v>
      </c>
      <c r="G111" t="s">
        <v>19</v>
      </c>
      <c r="H111" t="s">
        <v>290</v>
      </c>
      <c r="I111" s="2">
        <v>45382</v>
      </c>
      <c r="J111" s="2">
        <v>45504</v>
      </c>
      <c r="K111" t="str">
        <f>VLOOKUP(B111,'20April'!B:G,6,0)</f>
        <v>Have records but not submitted</v>
      </c>
    </row>
    <row r="112" spans="1:11" x14ac:dyDescent="0.25">
      <c r="A112">
        <v>203</v>
      </c>
      <c r="B112" t="s">
        <v>435</v>
      </c>
      <c r="C112" t="s">
        <v>421</v>
      </c>
      <c r="D112" t="s">
        <v>17</v>
      </c>
      <c r="E112" t="s">
        <v>18</v>
      </c>
      <c r="F112" t="s">
        <v>436</v>
      </c>
      <c r="G112" t="s">
        <v>19</v>
      </c>
      <c r="H112" t="s">
        <v>290</v>
      </c>
      <c r="I112" s="2">
        <v>45382</v>
      </c>
      <c r="J112" s="2">
        <v>45504</v>
      </c>
      <c r="K112" t="str">
        <f>VLOOKUP(B112,'20April'!B:G,6,0)</f>
        <v>Have records but not submitted</v>
      </c>
    </row>
    <row r="113" spans="1:11" x14ac:dyDescent="0.25">
      <c r="A113">
        <v>204</v>
      </c>
      <c r="B113" t="s">
        <v>437</v>
      </c>
      <c r="C113" t="s">
        <v>421</v>
      </c>
      <c r="D113" t="s">
        <v>17</v>
      </c>
      <c r="E113" t="s">
        <v>18</v>
      </c>
      <c r="F113" t="s">
        <v>438</v>
      </c>
      <c r="G113" t="s">
        <v>19</v>
      </c>
      <c r="H113" t="s">
        <v>290</v>
      </c>
      <c r="I113" s="2">
        <v>45382</v>
      </c>
      <c r="J113" s="2">
        <v>45504</v>
      </c>
      <c r="K113" t="str">
        <f>VLOOKUP(B113,'20April'!B:G,6,0)</f>
        <v>Have records but not submitted</v>
      </c>
    </row>
    <row r="114" spans="1:11" x14ac:dyDescent="0.25">
      <c r="A114">
        <v>205</v>
      </c>
      <c r="B114" t="s">
        <v>439</v>
      </c>
      <c r="C114" t="s">
        <v>421</v>
      </c>
      <c r="D114" t="s">
        <v>17</v>
      </c>
      <c r="E114" t="s">
        <v>18</v>
      </c>
      <c r="F114" t="s">
        <v>440</v>
      </c>
      <c r="G114" t="s">
        <v>19</v>
      </c>
      <c r="H114" t="s">
        <v>290</v>
      </c>
      <c r="I114" s="2">
        <v>45382</v>
      </c>
      <c r="J114" s="2">
        <v>45504</v>
      </c>
      <c r="K114" t="str">
        <f>VLOOKUP(B114,'20April'!B:G,6,0)</f>
        <v>Have records but not submitted</v>
      </c>
    </row>
    <row r="115" spans="1:11" x14ac:dyDescent="0.25">
      <c r="A115">
        <v>206</v>
      </c>
      <c r="B115" t="s">
        <v>441</v>
      </c>
      <c r="C115" t="s">
        <v>421</v>
      </c>
      <c r="D115" t="s">
        <v>17</v>
      </c>
      <c r="E115" t="s">
        <v>18</v>
      </c>
      <c r="F115" t="s">
        <v>442</v>
      </c>
      <c r="G115" t="s">
        <v>19</v>
      </c>
      <c r="H115" t="s">
        <v>290</v>
      </c>
      <c r="I115" s="2">
        <v>45382</v>
      </c>
      <c r="J115" s="2">
        <v>45504</v>
      </c>
      <c r="K115" t="str">
        <f>VLOOKUP(B115,'20April'!B:G,6,0)</f>
        <v>Have records but not submitted</v>
      </c>
    </row>
    <row r="116" spans="1:11" x14ac:dyDescent="0.25">
      <c r="A116">
        <v>207</v>
      </c>
      <c r="B116" t="s">
        <v>443</v>
      </c>
      <c r="C116" t="s">
        <v>421</v>
      </c>
      <c r="D116" t="s">
        <v>17</v>
      </c>
      <c r="E116" t="s">
        <v>18</v>
      </c>
      <c r="F116" t="s">
        <v>444</v>
      </c>
      <c r="G116" t="s">
        <v>19</v>
      </c>
      <c r="H116" t="s">
        <v>290</v>
      </c>
      <c r="I116" s="2">
        <v>45382</v>
      </c>
      <c r="J116" s="2">
        <v>45504</v>
      </c>
      <c r="K116" t="str">
        <f>VLOOKUP(B116,'20April'!B:G,6,0)</f>
        <v>Have records but not submitted</v>
      </c>
    </row>
    <row r="117" spans="1:11" x14ac:dyDescent="0.25">
      <c r="A117">
        <v>208</v>
      </c>
      <c r="B117" t="s">
        <v>445</v>
      </c>
      <c r="C117" t="s">
        <v>421</v>
      </c>
      <c r="D117" t="s">
        <v>17</v>
      </c>
      <c r="E117" t="s">
        <v>18</v>
      </c>
      <c r="F117" t="s">
        <v>446</v>
      </c>
      <c r="G117" t="s">
        <v>19</v>
      </c>
      <c r="H117" t="s">
        <v>290</v>
      </c>
      <c r="I117" s="2">
        <v>45382</v>
      </c>
      <c r="J117" s="2">
        <v>45504</v>
      </c>
      <c r="K117" t="str">
        <f>VLOOKUP(B117,'20April'!B:G,6,0)</f>
        <v>Have records but not submitted</v>
      </c>
    </row>
    <row r="118" spans="1:11" x14ac:dyDescent="0.25">
      <c r="A118">
        <v>209</v>
      </c>
      <c r="B118" t="s">
        <v>447</v>
      </c>
      <c r="C118" t="s">
        <v>421</v>
      </c>
      <c r="D118" t="s">
        <v>17</v>
      </c>
      <c r="E118" t="s">
        <v>18</v>
      </c>
      <c r="F118" t="s">
        <v>448</v>
      </c>
      <c r="G118" t="s">
        <v>19</v>
      </c>
      <c r="H118" t="s">
        <v>290</v>
      </c>
      <c r="I118" s="2">
        <v>45382</v>
      </c>
      <c r="J118" s="2">
        <v>45504</v>
      </c>
      <c r="K118" t="str">
        <f>VLOOKUP(B118,'20April'!B:G,6,0)</f>
        <v>Have records but not submitted</v>
      </c>
    </row>
    <row r="119" spans="1:11" x14ac:dyDescent="0.25">
      <c r="A119">
        <v>210</v>
      </c>
      <c r="B119" t="s">
        <v>449</v>
      </c>
      <c r="C119" t="s">
        <v>421</v>
      </c>
      <c r="D119" t="s">
        <v>17</v>
      </c>
      <c r="E119" t="s">
        <v>18</v>
      </c>
      <c r="F119" t="s">
        <v>450</v>
      </c>
      <c r="G119" t="s">
        <v>19</v>
      </c>
      <c r="H119" t="s">
        <v>290</v>
      </c>
      <c r="I119" s="2">
        <v>45382</v>
      </c>
      <c r="J119" s="2">
        <v>45504</v>
      </c>
      <c r="K119" t="str">
        <f>VLOOKUP(B119,'20April'!B:G,6,0)</f>
        <v>Have records but not submitted</v>
      </c>
    </row>
    <row r="120" spans="1:11" x14ac:dyDescent="0.25">
      <c r="A120">
        <v>211</v>
      </c>
      <c r="B120" t="s">
        <v>451</v>
      </c>
      <c r="C120" t="s">
        <v>421</v>
      </c>
      <c r="D120" t="s">
        <v>17</v>
      </c>
      <c r="E120" t="s">
        <v>18</v>
      </c>
      <c r="F120" t="s">
        <v>452</v>
      </c>
      <c r="G120" t="s">
        <v>19</v>
      </c>
      <c r="H120" t="s">
        <v>290</v>
      </c>
      <c r="I120" s="2">
        <v>45382</v>
      </c>
      <c r="J120" s="2">
        <v>45504</v>
      </c>
      <c r="K120" t="str">
        <f>VLOOKUP(B120,'20April'!B:G,6,0)</f>
        <v>Have records but not submitted</v>
      </c>
    </row>
    <row r="121" spans="1:11" x14ac:dyDescent="0.25">
      <c r="A121">
        <v>212</v>
      </c>
      <c r="B121" t="s">
        <v>453</v>
      </c>
      <c r="C121" t="s">
        <v>421</v>
      </c>
      <c r="D121" t="s">
        <v>17</v>
      </c>
      <c r="E121" t="s">
        <v>18</v>
      </c>
      <c r="F121" t="s">
        <v>454</v>
      </c>
      <c r="G121" t="s">
        <v>19</v>
      </c>
      <c r="H121" t="s">
        <v>290</v>
      </c>
      <c r="I121" s="2">
        <v>45382</v>
      </c>
      <c r="J121" s="2">
        <v>45504</v>
      </c>
      <c r="K121" t="str">
        <f>VLOOKUP(B121,'20April'!B:G,6,0)</f>
        <v>Have records but not submitted</v>
      </c>
    </row>
    <row r="122" spans="1:11" x14ac:dyDescent="0.25">
      <c r="A122">
        <v>213</v>
      </c>
      <c r="B122" t="s">
        <v>455</v>
      </c>
      <c r="C122" t="s">
        <v>421</v>
      </c>
      <c r="D122" t="s">
        <v>17</v>
      </c>
      <c r="E122" t="s">
        <v>18</v>
      </c>
      <c r="F122" t="s">
        <v>456</v>
      </c>
      <c r="G122" t="s">
        <v>19</v>
      </c>
      <c r="H122" t="s">
        <v>290</v>
      </c>
      <c r="I122" s="2">
        <v>45382</v>
      </c>
      <c r="J122" s="2">
        <v>45504</v>
      </c>
      <c r="K122" t="str">
        <f>VLOOKUP(B122,'20April'!B:G,6,0)</f>
        <v>Have records but not submitted</v>
      </c>
    </row>
    <row r="123" spans="1:11" x14ac:dyDescent="0.25">
      <c r="A123">
        <v>214</v>
      </c>
      <c r="B123" t="s">
        <v>457</v>
      </c>
      <c r="C123" t="s">
        <v>421</v>
      </c>
      <c r="D123" t="s">
        <v>17</v>
      </c>
      <c r="E123" t="s">
        <v>18</v>
      </c>
      <c r="F123" t="s">
        <v>458</v>
      </c>
      <c r="G123" t="s">
        <v>19</v>
      </c>
      <c r="H123" t="s">
        <v>290</v>
      </c>
      <c r="I123" s="2">
        <v>45382</v>
      </c>
      <c r="J123" s="2">
        <v>45504</v>
      </c>
      <c r="K123" t="str">
        <f>VLOOKUP(B123,'20April'!B:G,6,0)</f>
        <v>Have records but not submitted</v>
      </c>
    </row>
    <row r="124" spans="1:11" x14ac:dyDescent="0.25">
      <c r="A124">
        <v>215</v>
      </c>
      <c r="B124" t="s">
        <v>459</v>
      </c>
      <c r="C124" t="s">
        <v>421</v>
      </c>
      <c r="D124" t="s">
        <v>17</v>
      </c>
      <c r="E124" t="s">
        <v>18</v>
      </c>
      <c r="F124" t="s">
        <v>460</v>
      </c>
      <c r="G124" t="s">
        <v>19</v>
      </c>
      <c r="H124" t="s">
        <v>290</v>
      </c>
      <c r="I124" s="2">
        <v>45382</v>
      </c>
      <c r="J124" s="2">
        <v>45504</v>
      </c>
      <c r="K124" t="str">
        <f>VLOOKUP(B124,'20April'!B:G,6,0)</f>
        <v>Have records but not submitted</v>
      </c>
    </row>
    <row r="125" spans="1:11" x14ac:dyDescent="0.25">
      <c r="A125">
        <v>216</v>
      </c>
      <c r="B125" t="s">
        <v>461</v>
      </c>
      <c r="C125" t="s">
        <v>421</v>
      </c>
      <c r="D125" t="s">
        <v>17</v>
      </c>
      <c r="E125" t="s">
        <v>18</v>
      </c>
      <c r="F125" t="s">
        <v>462</v>
      </c>
      <c r="G125" t="s">
        <v>19</v>
      </c>
      <c r="H125" t="s">
        <v>290</v>
      </c>
      <c r="I125" s="2">
        <v>45382</v>
      </c>
      <c r="J125" s="2">
        <v>45504</v>
      </c>
      <c r="K125" t="str">
        <f>VLOOKUP(B125,'20April'!B:G,6,0)</f>
        <v>Have records but not submitted</v>
      </c>
    </row>
    <row r="126" spans="1:11" x14ac:dyDescent="0.25">
      <c r="A126">
        <v>217</v>
      </c>
      <c r="B126" t="s">
        <v>463</v>
      </c>
      <c r="C126" t="s">
        <v>421</v>
      </c>
      <c r="D126" t="s">
        <v>17</v>
      </c>
      <c r="E126" t="s">
        <v>18</v>
      </c>
      <c r="F126" t="s">
        <v>464</v>
      </c>
      <c r="G126" t="s">
        <v>19</v>
      </c>
      <c r="H126" t="s">
        <v>290</v>
      </c>
      <c r="I126" s="2">
        <v>45382</v>
      </c>
      <c r="J126" s="2">
        <v>45504</v>
      </c>
      <c r="K126" t="str">
        <f>VLOOKUP(B126,'20April'!B:G,6,0)</f>
        <v>Have records but not submitted</v>
      </c>
    </row>
    <row r="127" spans="1:11" x14ac:dyDescent="0.25">
      <c r="A127">
        <v>218</v>
      </c>
      <c r="B127" t="s">
        <v>465</v>
      </c>
      <c r="C127" t="s">
        <v>466</v>
      </c>
      <c r="D127" t="s">
        <v>17</v>
      </c>
      <c r="E127" t="s">
        <v>18</v>
      </c>
      <c r="F127" t="s">
        <v>467</v>
      </c>
      <c r="G127" t="s">
        <v>19</v>
      </c>
      <c r="H127" t="s">
        <v>290</v>
      </c>
      <c r="I127" s="2">
        <v>45382</v>
      </c>
      <c r="J127" s="2">
        <v>45504</v>
      </c>
      <c r="K127" t="str">
        <f>VLOOKUP(B127,'20April'!B:G,6,0)</f>
        <v>Have records but not submitted</v>
      </c>
    </row>
    <row r="128" spans="1:11" x14ac:dyDescent="0.25">
      <c r="A128">
        <v>219</v>
      </c>
      <c r="B128" t="s">
        <v>468</v>
      </c>
      <c r="C128" t="s">
        <v>466</v>
      </c>
      <c r="D128" t="s">
        <v>17</v>
      </c>
      <c r="E128" t="s">
        <v>18</v>
      </c>
      <c r="F128" t="s">
        <v>469</v>
      </c>
      <c r="G128" t="s">
        <v>19</v>
      </c>
      <c r="H128" t="s">
        <v>290</v>
      </c>
      <c r="I128" s="2">
        <v>45382</v>
      </c>
      <c r="J128" s="2">
        <v>45504</v>
      </c>
      <c r="K128" t="str">
        <f>VLOOKUP(B128,'20April'!B:G,6,0)</f>
        <v>Have records but not submitted</v>
      </c>
    </row>
    <row r="129" spans="1:11" x14ac:dyDescent="0.25">
      <c r="A129">
        <v>42</v>
      </c>
      <c r="B129" t="s">
        <v>105</v>
      </c>
      <c r="C129" t="s">
        <v>106</v>
      </c>
      <c r="D129" t="s">
        <v>11</v>
      </c>
      <c r="E129" t="s">
        <v>12</v>
      </c>
      <c r="G129" t="s">
        <v>13</v>
      </c>
      <c r="H129" t="s">
        <v>14</v>
      </c>
      <c r="K129" t="str">
        <f>VLOOKUP(B129,'20April'!B:G,6,0)</f>
        <v>No records</v>
      </c>
    </row>
    <row r="130" spans="1:11" x14ac:dyDescent="0.25">
      <c r="A130">
        <v>43</v>
      </c>
      <c r="B130" t="s">
        <v>563</v>
      </c>
      <c r="C130" t="s">
        <v>564</v>
      </c>
      <c r="D130" t="s">
        <v>11</v>
      </c>
      <c r="E130" t="s">
        <v>12</v>
      </c>
      <c r="G130" t="s">
        <v>13</v>
      </c>
      <c r="H130" t="s">
        <v>14</v>
      </c>
      <c r="K130" t="e">
        <f>VLOOKUP(B130,'20April'!B:G,6,0)</f>
        <v>#N/A</v>
      </c>
    </row>
    <row r="131" spans="1:11" x14ac:dyDescent="0.25">
      <c r="A131">
        <v>44</v>
      </c>
      <c r="B131" t="s">
        <v>107</v>
      </c>
      <c r="C131" t="s">
        <v>108</v>
      </c>
      <c r="D131" t="s">
        <v>17</v>
      </c>
      <c r="E131" t="s">
        <v>18</v>
      </c>
      <c r="G131" t="s">
        <v>19</v>
      </c>
      <c r="H131" t="s">
        <v>14</v>
      </c>
      <c r="I131" s="2">
        <v>45382</v>
      </c>
      <c r="J131" s="2">
        <v>45504</v>
      </c>
      <c r="K131" t="str">
        <f>VLOOKUP(B131,'20April'!B:G,6,0)</f>
        <v>Have records but not submitted</v>
      </c>
    </row>
    <row r="132" spans="1:11" x14ac:dyDescent="0.25">
      <c r="A132">
        <v>220</v>
      </c>
      <c r="B132" t="s">
        <v>470</v>
      </c>
      <c r="C132" t="s">
        <v>471</v>
      </c>
      <c r="D132" t="s">
        <v>17</v>
      </c>
      <c r="E132" t="s">
        <v>18</v>
      </c>
      <c r="F132" t="s">
        <v>472</v>
      </c>
      <c r="G132" t="s">
        <v>19</v>
      </c>
      <c r="H132" t="s">
        <v>290</v>
      </c>
      <c r="I132" s="2">
        <v>45382</v>
      </c>
      <c r="J132" s="2">
        <v>45504</v>
      </c>
      <c r="K132" t="str">
        <f>VLOOKUP(B132,'20April'!B:G,6,0)</f>
        <v>Have records but not submitted</v>
      </c>
    </row>
    <row r="133" spans="1:11" x14ac:dyDescent="0.25">
      <c r="A133">
        <v>45</v>
      </c>
      <c r="B133" t="s">
        <v>109</v>
      </c>
      <c r="C133" t="s">
        <v>110</v>
      </c>
      <c r="D133" t="s">
        <v>17</v>
      </c>
      <c r="E133" t="s">
        <v>18</v>
      </c>
      <c r="G133" t="s">
        <v>19</v>
      </c>
      <c r="H133" t="s">
        <v>14</v>
      </c>
      <c r="I133" s="2">
        <v>45382</v>
      </c>
      <c r="J133" s="2">
        <v>45504</v>
      </c>
      <c r="K133" t="str">
        <f>VLOOKUP(B133,'20April'!B:G,6,0)</f>
        <v>Have records but not submitted</v>
      </c>
    </row>
    <row r="134" spans="1:11" x14ac:dyDescent="0.25">
      <c r="A134">
        <v>221</v>
      </c>
      <c r="B134" t="s">
        <v>473</v>
      </c>
      <c r="C134" t="s">
        <v>474</v>
      </c>
      <c r="D134" t="s">
        <v>11</v>
      </c>
      <c r="E134" t="s">
        <v>12</v>
      </c>
      <c r="F134" t="s">
        <v>475</v>
      </c>
      <c r="G134" t="s">
        <v>13</v>
      </c>
      <c r="H134" t="s">
        <v>290</v>
      </c>
      <c r="K134" t="str">
        <f>VLOOKUP(B134,'20April'!B:G,6,0)</f>
        <v>No records</v>
      </c>
    </row>
    <row r="135" spans="1:11" x14ac:dyDescent="0.25">
      <c r="A135">
        <v>222</v>
      </c>
      <c r="B135" t="s">
        <v>476</v>
      </c>
      <c r="C135" t="s">
        <v>474</v>
      </c>
      <c r="D135" t="s">
        <v>11</v>
      </c>
      <c r="E135" t="s">
        <v>12</v>
      </c>
      <c r="F135" t="s">
        <v>477</v>
      </c>
      <c r="G135" t="s">
        <v>13</v>
      </c>
      <c r="H135" t="s">
        <v>290</v>
      </c>
      <c r="K135" t="str">
        <f>VLOOKUP(B135,'20April'!B:G,6,0)</f>
        <v>No records</v>
      </c>
    </row>
    <row r="136" spans="1:11" x14ac:dyDescent="0.25">
      <c r="A136">
        <v>46</v>
      </c>
      <c r="B136" t="s">
        <v>111</v>
      </c>
      <c r="C136" t="s">
        <v>112</v>
      </c>
      <c r="D136" t="s">
        <v>11</v>
      </c>
      <c r="E136" t="s">
        <v>12</v>
      </c>
      <c r="G136" t="s">
        <v>13</v>
      </c>
      <c r="H136" t="s">
        <v>14</v>
      </c>
      <c r="K136" t="str">
        <f>VLOOKUP(B136,'20April'!B:G,6,0)</f>
        <v>No records</v>
      </c>
    </row>
    <row r="137" spans="1:11" x14ac:dyDescent="0.25">
      <c r="A137">
        <v>47</v>
      </c>
      <c r="B137" t="s">
        <v>113</v>
      </c>
      <c r="C137" t="s">
        <v>114</v>
      </c>
      <c r="D137" t="s">
        <v>11</v>
      </c>
      <c r="E137" t="s">
        <v>12</v>
      </c>
      <c r="G137" t="s">
        <v>13</v>
      </c>
      <c r="H137" t="s">
        <v>14</v>
      </c>
      <c r="K137" t="str">
        <f>VLOOKUP(B137,'20April'!B:G,6,0)</f>
        <v>No records</v>
      </c>
    </row>
    <row r="138" spans="1:11" x14ac:dyDescent="0.25">
      <c r="A138">
        <v>48</v>
      </c>
      <c r="B138" t="s">
        <v>115</v>
      </c>
      <c r="C138" t="s">
        <v>116</v>
      </c>
      <c r="D138" t="s">
        <v>11</v>
      </c>
      <c r="E138" t="s">
        <v>12</v>
      </c>
      <c r="G138" t="s">
        <v>13</v>
      </c>
      <c r="H138" t="s">
        <v>14</v>
      </c>
      <c r="K138" t="str">
        <f>VLOOKUP(B138,'20April'!B:G,6,0)</f>
        <v>No records</v>
      </c>
    </row>
    <row r="139" spans="1:11" x14ac:dyDescent="0.25">
      <c r="A139">
        <v>49</v>
      </c>
      <c r="B139" t="s">
        <v>117</v>
      </c>
      <c r="C139" t="s">
        <v>118</v>
      </c>
      <c r="D139" t="s">
        <v>11</v>
      </c>
      <c r="E139" t="s">
        <v>12</v>
      </c>
      <c r="G139" t="s">
        <v>13</v>
      </c>
      <c r="H139" t="s">
        <v>14</v>
      </c>
      <c r="K139" t="str">
        <f>VLOOKUP(B139,'20April'!B:G,6,0)</f>
        <v>No records</v>
      </c>
    </row>
    <row r="140" spans="1:11" x14ac:dyDescent="0.25">
      <c r="A140">
        <v>50</v>
      </c>
      <c r="B140" t="s">
        <v>119</v>
      </c>
      <c r="C140" t="s">
        <v>120</v>
      </c>
      <c r="D140" t="s">
        <v>17</v>
      </c>
      <c r="E140" t="s">
        <v>18</v>
      </c>
      <c r="G140" t="s">
        <v>19</v>
      </c>
      <c r="H140" t="s">
        <v>14</v>
      </c>
      <c r="I140" s="2">
        <v>45382</v>
      </c>
      <c r="J140" s="2">
        <v>45504</v>
      </c>
      <c r="K140" t="str">
        <f>VLOOKUP(B140,'20April'!B:G,6,0)</f>
        <v>Have records but not submitted</v>
      </c>
    </row>
    <row r="141" spans="1:11" x14ac:dyDescent="0.25">
      <c r="A141">
        <v>51</v>
      </c>
      <c r="B141" t="s">
        <v>121</v>
      </c>
      <c r="C141" s="3" t="s">
        <v>122</v>
      </c>
      <c r="D141" t="s">
        <v>57</v>
      </c>
      <c r="E141" t="s">
        <v>58</v>
      </c>
      <c r="G141" t="s">
        <v>54</v>
      </c>
      <c r="H141" t="s">
        <v>14</v>
      </c>
      <c r="K141" t="str">
        <f>VLOOKUP(B141,'20April'!B:G,6,0)</f>
        <v>Have records but not submitted</v>
      </c>
    </row>
    <row r="142" spans="1:11" x14ac:dyDescent="0.25">
      <c r="A142">
        <v>52</v>
      </c>
      <c r="B142" t="s">
        <v>123</v>
      </c>
      <c r="C142" s="3" t="s">
        <v>124</v>
      </c>
      <c r="D142" t="s">
        <v>57</v>
      </c>
      <c r="E142" t="s">
        <v>58</v>
      </c>
      <c r="G142" t="s">
        <v>54</v>
      </c>
      <c r="H142" t="s">
        <v>14</v>
      </c>
      <c r="K142" t="str">
        <f>VLOOKUP(B142,'20April'!B:G,6,0)</f>
        <v>Have records but not submitted</v>
      </c>
    </row>
    <row r="143" spans="1:11" x14ac:dyDescent="0.25">
      <c r="A143">
        <v>53</v>
      </c>
      <c r="B143" t="s">
        <v>125</v>
      </c>
      <c r="C143" t="s">
        <v>126</v>
      </c>
      <c r="D143" t="s">
        <v>17</v>
      </c>
      <c r="E143" t="s">
        <v>18</v>
      </c>
      <c r="G143" t="s">
        <v>19</v>
      </c>
      <c r="H143" t="s">
        <v>14</v>
      </c>
      <c r="I143" s="2">
        <v>45382</v>
      </c>
      <c r="J143" s="2">
        <v>45504</v>
      </c>
      <c r="K143" t="str">
        <f>VLOOKUP(B143,'20April'!B:G,6,0)</f>
        <v>Have records but not submitted</v>
      </c>
    </row>
    <row r="144" spans="1:11" x14ac:dyDescent="0.25">
      <c r="A144">
        <v>54</v>
      </c>
      <c r="B144" t="s">
        <v>127</v>
      </c>
      <c r="C144" t="s">
        <v>128</v>
      </c>
      <c r="D144" t="s">
        <v>11</v>
      </c>
      <c r="E144" t="s">
        <v>12</v>
      </c>
      <c r="G144" t="s">
        <v>13</v>
      </c>
      <c r="H144" t="s">
        <v>14</v>
      </c>
      <c r="K144" t="str">
        <f>VLOOKUP(B144,'20April'!B:G,6,0)</f>
        <v>No records</v>
      </c>
    </row>
    <row r="145" spans="1:11" x14ac:dyDescent="0.25">
      <c r="A145">
        <v>55</v>
      </c>
      <c r="B145" t="s">
        <v>129</v>
      </c>
      <c r="C145" t="s">
        <v>130</v>
      </c>
      <c r="D145" t="s">
        <v>17</v>
      </c>
      <c r="E145" t="s">
        <v>18</v>
      </c>
      <c r="G145" t="s">
        <v>19</v>
      </c>
      <c r="H145" t="s">
        <v>14</v>
      </c>
      <c r="I145" s="2">
        <v>45382</v>
      </c>
      <c r="J145" s="2">
        <v>45504</v>
      </c>
      <c r="K145" t="str">
        <f>VLOOKUP(B145,'20April'!B:G,6,0)</f>
        <v>Have records but not submitted</v>
      </c>
    </row>
    <row r="146" spans="1:11" x14ac:dyDescent="0.25">
      <c r="A146">
        <v>56</v>
      </c>
      <c r="B146" t="s">
        <v>131</v>
      </c>
      <c r="C146" t="s">
        <v>132</v>
      </c>
      <c r="D146" t="s">
        <v>22</v>
      </c>
      <c r="E146" t="s">
        <v>23</v>
      </c>
      <c r="G146" t="s">
        <v>19</v>
      </c>
      <c r="H146" t="s">
        <v>14</v>
      </c>
      <c r="I146" s="2">
        <v>45291</v>
      </c>
      <c r="J146" s="2">
        <v>45412</v>
      </c>
      <c r="K146" t="str">
        <f>VLOOKUP(B146,'20April'!B:G,6,0)</f>
        <v>Have records but not submitted</v>
      </c>
    </row>
    <row r="147" spans="1:11" x14ac:dyDescent="0.25">
      <c r="A147">
        <v>57</v>
      </c>
      <c r="B147" t="s">
        <v>133</v>
      </c>
      <c r="C147" t="s">
        <v>134</v>
      </c>
      <c r="D147" t="s">
        <v>17</v>
      </c>
      <c r="E147" t="s">
        <v>18</v>
      </c>
      <c r="G147" t="s">
        <v>19</v>
      </c>
      <c r="H147" t="s">
        <v>14</v>
      </c>
      <c r="I147" s="2">
        <v>45382</v>
      </c>
      <c r="J147" s="2">
        <v>45504</v>
      </c>
      <c r="K147" t="str">
        <f>VLOOKUP(B147,'20April'!B:G,6,0)</f>
        <v>Have records but not submitted</v>
      </c>
    </row>
    <row r="148" spans="1:11" x14ac:dyDescent="0.25">
      <c r="A148">
        <v>58</v>
      </c>
      <c r="B148" t="s">
        <v>135</v>
      </c>
      <c r="C148" t="s">
        <v>136</v>
      </c>
      <c r="D148" t="s">
        <v>17</v>
      </c>
      <c r="E148" t="s">
        <v>18</v>
      </c>
      <c r="G148" t="s">
        <v>19</v>
      </c>
      <c r="H148" t="s">
        <v>14</v>
      </c>
      <c r="I148" s="2">
        <v>45382</v>
      </c>
      <c r="J148" s="2">
        <v>45504</v>
      </c>
      <c r="K148" t="str">
        <f>VLOOKUP(B148,'20April'!B:G,6,0)</f>
        <v>Have records but not submitted</v>
      </c>
    </row>
    <row r="149" spans="1:11" x14ac:dyDescent="0.25">
      <c r="A149">
        <v>223</v>
      </c>
      <c r="B149" t="s">
        <v>478</v>
      </c>
      <c r="C149" t="s">
        <v>479</v>
      </c>
      <c r="D149" t="s">
        <v>17</v>
      </c>
      <c r="E149" t="s">
        <v>18</v>
      </c>
      <c r="F149" t="s">
        <v>480</v>
      </c>
      <c r="G149" t="s">
        <v>19</v>
      </c>
      <c r="H149" t="s">
        <v>290</v>
      </c>
      <c r="I149" s="2">
        <v>45382</v>
      </c>
      <c r="J149" s="2">
        <v>45504</v>
      </c>
      <c r="K149" t="str">
        <f>VLOOKUP(B149,'20April'!B:G,6,0)</f>
        <v>Have records but not submitted</v>
      </c>
    </row>
    <row r="150" spans="1:11" x14ac:dyDescent="0.25">
      <c r="A150">
        <v>224</v>
      </c>
      <c r="B150" t="s">
        <v>481</v>
      </c>
      <c r="C150" t="s">
        <v>482</v>
      </c>
      <c r="D150" t="s">
        <v>17</v>
      </c>
      <c r="E150" t="s">
        <v>18</v>
      </c>
      <c r="F150" t="s">
        <v>483</v>
      </c>
      <c r="G150" t="s">
        <v>19</v>
      </c>
      <c r="H150" t="s">
        <v>290</v>
      </c>
      <c r="I150" s="2">
        <v>45382</v>
      </c>
      <c r="J150" s="2">
        <v>45504</v>
      </c>
      <c r="K150" t="str">
        <f>VLOOKUP(B150,'20April'!B:G,6,0)</f>
        <v>Have records but not submitted</v>
      </c>
    </row>
    <row r="151" spans="1:11" x14ac:dyDescent="0.25">
      <c r="A151">
        <v>225</v>
      </c>
      <c r="B151" t="s">
        <v>484</v>
      </c>
      <c r="C151" t="s">
        <v>482</v>
      </c>
      <c r="D151" t="s">
        <v>17</v>
      </c>
      <c r="E151" t="s">
        <v>18</v>
      </c>
      <c r="F151" t="s">
        <v>485</v>
      </c>
      <c r="G151" t="s">
        <v>19</v>
      </c>
      <c r="H151" t="s">
        <v>290</v>
      </c>
      <c r="I151" s="2">
        <v>45382</v>
      </c>
      <c r="J151" s="2">
        <v>45504</v>
      </c>
      <c r="K151" t="str">
        <f>VLOOKUP(B151,'20April'!B:G,6,0)</f>
        <v>Have records but not submitted</v>
      </c>
    </row>
    <row r="152" spans="1:11" x14ac:dyDescent="0.25">
      <c r="A152">
        <v>59</v>
      </c>
      <c r="B152" t="s">
        <v>137</v>
      </c>
      <c r="C152" t="s">
        <v>138</v>
      </c>
      <c r="D152" t="s">
        <v>11</v>
      </c>
      <c r="E152" t="s">
        <v>12</v>
      </c>
      <c r="G152" t="s">
        <v>13</v>
      </c>
      <c r="H152" t="s">
        <v>14</v>
      </c>
      <c r="K152" t="str">
        <f>VLOOKUP(B152,'20April'!B:G,6,0)</f>
        <v>No records</v>
      </c>
    </row>
    <row r="153" spans="1:11" x14ac:dyDescent="0.25">
      <c r="A153">
        <v>60</v>
      </c>
      <c r="B153" t="s">
        <v>565</v>
      </c>
      <c r="C153" t="s">
        <v>566</v>
      </c>
      <c r="D153" t="s">
        <v>11</v>
      </c>
      <c r="E153" t="s">
        <v>12</v>
      </c>
      <c r="G153" t="s">
        <v>13</v>
      </c>
      <c r="H153" t="s">
        <v>14</v>
      </c>
      <c r="K153" t="e">
        <f>VLOOKUP(B153,'20April'!B:G,6,0)</f>
        <v>#N/A</v>
      </c>
    </row>
    <row r="154" spans="1:11" x14ac:dyDescent="0.25">
      <c r="A154">
        <v>61</v>
      </c>
      <c r="B154" t="s">
        <v>139</v>
      </c>
      <c r="C154" t="s">
        <v>140</v>
      </c>
      <c r="D154" t="s">
        <v>11</v>
      </c>
      <c r="E154" t="s">
        <v>12</v>
      </c>
      <c r="G154" t="s">
        <v>13</v>
      </c>
      <c r="H154" t="s">
        <v>14</v>
      </c>
      <c r="K154" t="str">
        <f>VLOOKUP(B154,'20April'!B:G,6,0)</f>
        <v>No records</v>
      </c>
    </row>
    <row r="155" spans="1:11" x14ac:dyDescent="0.25">
      <c r="A155">
        <v>62</v>
      </c>
      <c r="B155" t="s">
        <v>141</v>
      </c>
      <c r="C155" t="s">
        <v>142</v>
      </c>
      <c r="D155" t="s">
        <v>17</v>
      </c>
      <c r="E155" t="s">
        <v>18</v>
      </c>
      <c r="G155" t="s">
        <v>19</v>
      </c>
      <c r="H155" t="s">
        <v>14</v>
      </c>
      <c r="I155" s="2">
        <v>45382</v>
      </c>
      <c r="J155" s="2">
        <v>45504</v>
      </c>
      <c r="K155" t="str">
        <f>VLOOKUP(B155,'20April'!B:G,6,0)</f>
        <v>Have records but not submitted</v>
      </c>
    </row>
    <row r="156" spans="1:11" x14ac:dyDescent="0.25">
      <c r="A156">
        <v>63</v>
      </c>
      <c r="B156" t="s">
        <v>143</v>
      </c>
      <c r="C156" t="s">
        <v>144</v>
      </c>
      <c r="D156" t="s">
        <v>17</v>
      </c>
      <c r="E156" t="s">
        <v>18</v>
      </c>
      <c r="G156" t="s">
        <v>19</v>
      </c>
      <c r="H156" t="s">
        <v>14</v>
      </c>
      <c r="I156" s="2">
        <v>45382</v>
      </c>
      <c r="J156" s="2">
        <v>45504</v>
      </c>
      <c r="K156" t="str">
        <f>VLOOKUP(B156,'20April'!B:G,6,0)</f>
        <v>Have records but not submitted</v>
      </c>
    </row>
    <row r="157" spans="1:11" x14ac:dyDescent="0.25">
      <c r="A157">
        <v>64</v>
      </c>
      <c r="B157" t="s">
        <v>145</v>
      </c>
      <c r="C157" t="s">
        <v>146</v>
      </c>
      <c r="D157" t="s">
        <v>11</v>
      </c>
      <c r="E157" t="s">
        <v>12</v>
      </c>
      <c r="G157" t="s">
        <v>13</v>
      </c>
      <c r="H157" t="s">
        <v>14</v>
      </c>
      <c r="K157" t="str">
        <f>VLOOKUP(B157,'20April'!B:G,6,0)</f>
        <v>No records</v>
      </c>
    </row>
    <row r="158" spans="1:11" x14ac:dyDescent="0.25">
      <c r="A158">
        <v>65</v>
      </c>
      <c r="B158" t="s">
        <v>147</v>
      </c>
      <c r="C158" t="s">
        <v>148</v>
      </c>
      <c r="D158" t="s">
        <v>11</v>
      </c>
      <c r="E158" t="s">
        <v>12</v>
      </c>
      <c r="G158" t="s">
        <v>13</v>
      </c>
      <c r="H158" t="s">
        <v>14</v>
      </c>
      <c r="K158" t="str">
        <f>VLOOKUP(B158,'20April'!B:G,6,0)</f>
        <v>No records</v>
      </c>
    </row>
    <row r="159" spans="1:11" x14ac:dyDescent="0.25">
      <c r="A159">
        <v>226</v>
      </c>
      <c r="B159" t="s">
        <v>486</v>
      </c>
      <c r="C159" t="s">
        <v>487</v>
      </c>
      <c r="D159" t="s">
        <v>17</v>
      </c>
      <c r="E159" t="s">
        <v>18</v>
      </c>
      <c r="F159" t="s">
        <v>488</v>
      </c>
      <c r="G159" t="s">
        <v>19</v>
      </c>
      <c r="H159" t="s">
        <v>290</v>
      </c>
      <c r="I159" s="2">
        <v>45382</v>
      </c>
      <c r="J159" s="2">
        <v>45504</v>
      </c>
      <c r="K159" t="str">
        <f>VLOOKUP(B159,'20April'!B:G,6,0)</f>
        <v>Have records but not submitted</v>
      </c>
    </row>
    <row r="160" spans="1:11" x14ac:dyDescent="0.25">
      <c r="A160">
        <v>227</v>
      </c>
      <c r="B160" t="s">
        <v>489</v>
      </c>
      <c r="C160" t="s">
        <v>487</v>
      </c>
      <c r="D160" t="s">
        <v>17</v>
      </c>
      <c r="E160" t="s">
        <v>18</v>
      </c>
      <c r="F160" t="s">
        <v>490</v>
      </c>
      <c r="G160" t="s">
        <v>19</v>
      </c>
      <c r="H160" t="s">
        <v>290</v>
      </c>
      <c r="I160" s="2">
        <v>45382</v>
      </c>
      <c r="J160" s="2">
        <v>45504</v>
      </c>
      <c r="K160" t="str">
        <f>VLOOKUP(B160,'20April'!B:G,6,0)</f>
        <v>Have records but not submitted</v>
      </c>
    </row>
    <row r="161" spans="1:11" x14ac:dyDescent="0.25">
      <c r="A161">
        <v>228</v>
      </c>
      <c r="B161" t="s">
        <v>491</v>
      </c>
      <c r="C161" t="s">
        <v>487</v>
      </c>
      <c r="D161" t="s">
        <v>17</v>
      </c>
      <c r="E161" t="s">
        <v>18</v>
      </c>
      <c r="F161" t="s">
        <v>492</v>
      </c>
      <c r="G161" t="s">
        <v>19</v>
      </c>
      <c r="H161" t="s">
        <v>290</v>
      </c>
      <c r="I161" s="2">
        <v>45382</v>
      </c>
      <c r="J161" s="2">
        <v>45504</v>
      </c>
      <c r="K161" t="str">
        <f>VLOOKUP(B161,'20April'!B:G,6,0)</f>
        <v>Have records but not submitted</v>
      </c>
    </row>
    <row r="162" spans="1:11" x14ac:dyDescent="0.25">
      <c r="A162">
        <v>229</v>
      </c>
      <c r="B162" t="s">
        <v>493</v>
      </c>
      <c r="C162" t="s">
        <v>494</v>
      </c>
      <c r="D162" t="s">
        <v>17</v>
      </c>
      <c r="E162" t="s">
        <v>18</v>
      </c>
      <c r="F162" t="s">
        <v>495</v>
      </c>
      <c r="G162" t="s">
        <v>19</v>
      </c>
      <c r="H162" t="s">
        <v>290</v>
      </c>
      <c r="I162" s="2">
        <v>45382</v>
      </c>
      <c r="J162" s="2">
        <v>45504</v>
      </c>
      <c r="K162" t="str">
        <f>VLOOKUP(B162,'20April'!B:G,6,0)</f>
        <v>Have records but not submitted</v>
      </c>
    </row>
    <row r="163" spans="1:11" x14ac:dyDescent="0.25">
      <c r="A163">
        <v>230</v>
      </c>
      <c r="B163" t="s">
        <v>496</v>
      </c>
      <c r="C163" t="s">
        <v>494</v>
      </c>
      <c r="D163" t="s">
        <v>17</v>
      </c>
      <c r="E163" t="s">
        <v>18</v>
      </c>
      <c r="F163" t="s">
        <v>497</v>
      </c>
      <c r="G163" t="s">
        <v>19</v>
      </c>
      <c r="H163" t="s">
        <v>290</v>
      </c>
      <c r="I163" s="2">
        <v>45382</v>
      </c>
      <c r="J163" s="2">
        <v>45504</v>
      </c>
      <c r="K163" t="str">
        <f>VLOOKUP(B163,'20April'!B:G,6,0)</f>
        <v>Have records but not submitted</v>
      </c>
    </row>
    <row r="164" spans="1:11" x14ac:dyDescent="0.25">
      <c r="A164">
        <v>231</v>
      </c>
      <c r="B164" t="s">
        <v>498</v>
      </c>
      <c r="C164" t="s">
        <v>494</v>
      </c>
      <c r="D164" t="s">
        <v>17</v>
      </c>
      <c r="E164" t="s">
        <v>18</v>
      </c>
      <c r="F164" t="s">
        <v>499</v>
      </c>
      <c r="G164" t="s">
        <v>19</v>
      </c>
      <c r="H164" t="s">
        <v>290</v>
      </c>
      <c r="I164" s="2">
        <v>45382</v>
      </c>
      <c r="J164" s="2">
        <v>45504</v>
      </c>
      <c r="K164" t="str">
        <f>VLOOKUP(B164,'20April'!B:G,6,0)</f>
        <v>Have records but not submitted</v>
      </c>
    </row>
    <row r="165" spans="1:11" x14ac:dyDescent="0.25">
      <c r="A165">
        <v>232</v>
      </c>
      <c r="B165" t="s">
        <v>500</v>
      </c>
      <c r="C165" t="s">
        <v>494</v>
      </c>
      <c r="D165" t="s">
        <v>17</v>
      </c>
      <c r="E165" t="s">
        <v>18</v>
      </c>
      <c r="F165" t="s">
        <v>501</v>
      </c>
      <c r="G165" t="s">
        <v>19</v>
      </c>
      <c r="H165" t="s">
        <v>290</v>
      </c>
      <c r="I165" s="2">
        <v>45382</v>
      </c>
      <c r="J165" s="2">
        <v>45504</v>
      </c>
      <c r="K165" t="str">
        <f>VLOOKUP(B165,'20April'!B:G,6,0)</f>
        <v>Have records but not submitted</v>
      </c>
    </row>
    <row r="166" spans="1:11" x14ac:dyDescent="0.25">
      <c r="A166">
        <v>233</v>
      </c>
      <c r="B166" t="s">
        <v>502</v>
      </c>
      <c r="C166" t="s">
        <v>494</v>
      </c>
      <c r="D166" t="s">
        <v>17</v>
      </c>
      <c r="E166" t="s">
        <v>18</v>
      </c>
      <c r="F166" t="s">
        <v>503</v>
      </c>
      <c r="G166" t="s">
        <v>19</v>
      </c>
      <c r="H166" t="s">
        <v>290</v>
      </c>
      <c r="I166" s="2">
        <v>45382</v>
      </c>
      <c r="J166" s="2">
        <v>45504</v>
      </c>
      <c r="K166" t="str">
        <f>VLOOKUP(B166,'20April'!B:G,6,0)</f>
        <v>Have records but not submitted</v>
      </c>
    </row>
    <row r="167" spans="1:11" x14ac:dyDescent="0.25">
      <c r="A167">
        <v>234</v>
      </c>
      <c r="B167" t="s">
        <v>504</v>
      </c>
      <c r="C167" t="s">
        <v>494</v>
      </c>
      <c r="D167" t="s">
        <v>17</v>
      </c>
      <c r="E167" t="s">
        <v>18</v>
      </c>
      <c r="F167" t="s">
        <v>505</v>
      </c>
      <c r="G167" t="s">
        <v>19</v>
      </c>
      <c r="H167" t="s">
        <v>290</v>
      </c>
      <c r="I167" s="2">
        <v>45382</v>
      </c>
      <c r="J167" s="2">
        <v>45504</v>
      </c>
      <c r="K167" t="str">
        <f>VLOOKUP(B167,'20April'!B:G,6,0)</f>
        <v>Have records but not submitted</v>
      </c>
    </row>
    <row r="168" spans="1:11" x14ac:dyDescent="0.25">
      <c r="A168">
        <v>66</v>
      </c>
      <c r="B168" t="s">
        <v>149</v>
      </c>
      <c r="C168" t="s">
        <v>150</v>
      </c>
      <c r="D168" t="s">
        <v>11</v>
      </c>
      <c r="E168" t="s">
        <v>12</v>
      </c>
      <c r="G168" t="s">
        <v>13</v>
      </c>
      <c r="H168" t="s">
        <v>14</v>
      </c>
      <c r="K168" t="str">
        <f>VLOOKUP(B168,'20April'!B:G,6,0)</f>
        <v>No records</v>
      </c>
    </row>
    <row r="169" spans="1:11" x14ac:dyDescent="0.25">
      <c r="A169">
        <v>67</v>
      </c>
      <c r="B169" t="s">
        <v>151</v>
      </c>
      <c r="C169" t="s">
        <v>152</v>
      </c>
      <c r="D169" t="s">
        <v>11</v>
      </c>
      <c r="E169" t="s">
        <v>12</v>
      </c>
      <c r="G169" t="s">
        <v>13</v>
      </c>
      <c r="H169" t="s">
        <v>14</v>
      </c>
      <c r="K169" t="str">
        <f>VLOOKUP(B169,'20April'!B:G,6,0)</f>
        <v>No records</v>
      </c>
    </row>
    <row r="170" spans="1:11" x14ac:dyDescent="0.25">
      <c r="A170">
        <v>68</v>
      </c>
      <c r="B170" t="s">
        <v>153</v>
      </c>
      <c r="C170" t="s">
        <v>154</v>
      </c>
      <c r="D170" t="s">
        <v>11</v>
      </c>
      <c r="E170" t="s">
        <v>12</v>
      </c>
      <c r="G170" t="s">
        <v>13</v>
      </c>
      <c r="H170" t="s">
        <v>14</v>
      </c>
      <c r="K170" t="str">
        <f>VLOOKUP(B170,'20April'!B:G,6,0)</f>
        <v>No records</v>
      </c>
    </row>
    <row r="171" spans="1:11" x14ac:dyDescent="0.25">
      <c r="A171">
        <v>69</v>
      </c>
      <c r="B171" t="s">
        <v>155</v>
      </c>
      <c r="C171" t="s">
        <v>156</v>
      </c>
      <c r="D171" t="s">
        <v>11</v>
      </c>
      <c r="E171" t="s">
        <v>12</v>
      </c>
      <c r="G171" t="s">
        <v>13</v>
      </c>
      <c r="H171" t="s">
        <v>14</v>
      </c>
      <c r="K171" t="str">
        <f>VLOOKUP(B171,'20April'!B:G,6,0)</f>
        <v>No records</v>
      </c>
    </row>
    <row r="172" spans="1:11" x14ac:dyDescent="0.25">
      <c r="A172">
        <v>235</v>
      </c>
      <c r="B172" t="s">
        <v>506</v>
      </c>
      <c r="C172" t="s">
        <v>507</v>
      </c>
      <c r="D172" t="s">
        <v>17</v>
      </c>
      <c r="E172" t="s">
        <v>18</v>
      </c>
      <c r="F172" t="s">
        <v>508</v>
      </c>
      <c r="G172" t="s">
        <v>19</v>
      </c>
      <c r="H172" t="s">
        <v>290</v>
      </c>
      <c r="I172" s="2">
        <v>45382</v>
      </c>
      <c r="J172" s="2">
        <v>45504</v>
      </c>
      <c r="K172" t="str">
        <f>VLOOKUP(B172,'20April'!B:G,6,0)</f>
        <v>Have records but not submitted</v>
      </c>
    </row>
    <row r="173" spans="1:11" x14ac:dyDescent="0.25">
      <c r="A173">
        <v>236</v>
      </c>
      <c r="B173" t="s">
        <v>509</v>
      </c>
      <c r="C173" t="s">
        <v>507</v>
      </c>
      <c r="D173" t="s">
        <v>17</v>
      </c>
      <c r="E173" t="s">
        <v>18</v>
      </c>
      <c r="F173" t="s">
        <v>510</v>
      </c>
      <c r="G173" t="s">
        <v>19</v>
      </c>
      <c r="H173" t="s">
        <v>290</v>
      </c>
      <c r="I173" s="2">
        <v>45382</v>
      </c>
      <c r="J173" s="2">
        <v>45504</v>
      </c>
      <c r="K173" t="str">
        <f>VLOOKUP(B173,'20April'!B:G,6,0)</f>
        <v>Have records but not submitted</v>
      </c>
    </row>
    <row r="174" spans="1:11" x14ac:dyDescent="0.25">
      <c r="A174">
        <v>70</v>
      </c>
      <c r="B174" t="s">
        <v>157</v>
      </c>
      <c r="C174" t="s">
        <v>158</v>
      </c>
      <c r="D174" t="s">
        <v>57</v>
      </c>
      <c r="E174" t="s">
        <v>58</v>
      </c>
      <c r="G174" t="s">
        <v>54</v>
      </c>
      <c r="H174" t="s">
        <v>14</v>
      </c>
      <c r="K174" t="str">
        <f>VLOOKUP(B174,'20April'!B:G,6,0)</f>
        <v>Have records and have submitted</v>
      </c>
    </row>
    <row r="175" spans="1:11" x14ac:dyDescent="0.25">
      <c r="A175">
        <v>71</v>
      </c>
      <c r="B175" t="s">
        <v>159</v>
      </c>
      <c r="C175" t="s">
        <v>160</v>
      </c>
      <c r="D175" t="s">
        <v>11</v>
      </c>
      <c r="E175" t="s">
        <v>12</v>
      </c>
      <c r="G175" t="s">
        <v>13</v>
      </c>
      <c r="H175" t="s">
        <v>14</v>
      </c>
      <c r="K175" t="str">
        <f>VLOOKUP(B175,'20April'!B:G,6,0)</f>
        <v>No records</v>
      </c>
    </row>
    <row r="176" spans="1:11" x14ac:dyDescent="0.25">
      <c r="A176">
        <v>72</v>
      </c>
      <c r="B176" t="s">
        <v>161</v>
      </c>
      <c r="C176" t="s">
        <v>162</v>
      </c>
      <c r="D176" t="s">
        <v>17</v>
      </c>
      <c r="E176" t="s">
        <v>18</v>
      </c>
      <c r="G176" t="s">
        <v>19</v>
      </c>
      <c r="H176" t="s">
        <v>14</v>
      </c>
      <c r="I176" s="2">
        <v>45382</v>
      </c>
      <c r="J176" s="2">
        <v>45504</v>
      </c>
      <c r="K176" t="str">
        <f>VLOOKUP(B176,'20April'!B:G,6,0)</f>
        <v>Have records but not submitted</v>
      </c>
    </row>
    <row r="177" spans="1:11" x14ac:dyDescent="0.25">
      <c r="A177">
        <v>73</v>
      </c>
      <c r="B177" t="s">
        <v>163</v>
      </c>
      <c r="C177" t="s">
        <v>164</v>
      </c>
      <c r="D177" t="s">
        <v>17</v>
      </c>
      <c r="E177" t="s">
        <v>18</v>
      </c>
      <c r="G177" t="s">
        <v>19</v>
      </c>
      <c r="H177" t="s">
        <v>14</v>
      </c>
      <c r="I177" s="2">
        <v>45382</v>
      </c>
      <c r="J177" s="2">
        <v>45504</v>
      </c>
      <c r="K177" t="str">
        <f>VLOOKUP(B177,'20April'!B:G,6,0)</f>
        <v>Have records but not submitted</v>
      </c>
    </row>
    <row r="178" spans="1:11" x14ac:dyDescent="0.25">
      <c r="A178">
        <v>237</v>
      </c>
      <c r="B178" t="s">
        <v>511</v>
      </c>
      <c r="C178" t="s">
        <v>512</v>
      </c>
      <c r="D178" t="s">
        <v>17</v>
      </c>
      <c r="E178" t="s">
        <v>18</v>
      </c>
      <c r="F178" t="s">
        <v>513</v>
      </c>
      <c r="G178" t="s">
        <v>19</v>
      </c>
      <c r="H178" t="s">
        <v>290</v>
      </c>
      <c r="I178" s="2">
        <v>45382</v>
      </c>
      <c r="J178" s="2">
        <v>45504</v>
      </c>
      <c r="K178" t="str">
        <f>VLOOKUP(B178,'20April'!B:G,6,0)</f>
        <v>Have records but not submitted</v>
      </c>
    </row>
    <row r="179" spans="1:11" x14ac:dyDescent="0.25">
      <c r="A179">
        <v>238</v>
      </c>
      <c r="B179" t="s">
        <v>514</v>
      </c>
      <c r="C179" t="s">
        <v>512</v>
      </c>
      <c r="D179" t="s">
        <v>17</v>
      </c>
      <c r="E179" t="s">
        <v>18</v>
      </c>
      <c r="F179" t="s">
        <v>515</v>
      </c>
      <c r="G179" t="s">
        <v>19</v>
      </c>
      <c r="H179" t="s">
        <v>290</v>
      </c>
      <c r="I179" s="2">
        <v>45382</v>
      </c>
      <c r="J179" s="2">
        <v>45504</v>
      </c>
      <c r="K179" t="str">
        <f>VLOOKUP(B179,'20April'!B:G,6,0)</f>
        <v>Have records but not submitted</v>
      </c>
    </row>
    <row r="180" spans="1:11" x14ac:dyDescent="0.25">
      <c r="A180">
        <v>239</v>
      </c>
      <c r="B180" t="s">
        <v>516</v>
      </c>
      <c r="C180" t="s">
        <v>512</v>
      </c>
      <c r="D180" t="s">
        <v>17</v>
      </c>
      <c r="E180" t="s">
        <v>18</v>
      </c>
      <c r="F180" t="s">
        <v>517</v>
      </c>
      <c r="G180" t="s">
        <v>19</v>
      </c>
      <c r="H180" t="s">
        <v>290</v>
      </c>
      <c r="I180" s="2">
        <v>45382</v>
      </c>
      <c r="J180" s="2">
        <v>45504</v>
      </c>
      <c r="K180" t="str">
        <f>VLOOKUP(B180,'20April'!B:G,6,0)</f>
        <v>Have records but not submitted</v>
      </c>
    </row>
    <row r="181" spans="1:11" x14ac:dyDescent="0.25">
      <c r="A181">
        <v>240</v>
      </c>
      <c r="B181" t="s">
        <v>518</v>
      </c>
      <c r="C181" t="s">
        <v>512</v>
      </c>
      <c r="D181" t="s">
        <v>17</v>
      </c>
      <c r="E181" t="s">
        <v>18</v>
      </c>
      <c r="F181" t="s">
        <v>519</v>
      </c>
      <c r="G181" t="s">
        <v>19</v>
      </c>
      <c r="H181" t="s">
        <v>290</v>
      </c>
      <c r="I181" s="2">
        <v>45382</v>
      </c>
      <c r="J181" s="2">
        <v>45504</v>
      </c>
      <c r="K181" t="str">
        <f>VLOOKUP(B181,'20April'!B:G,6,0)</f>
        <v>Have records but not submitted</v>
      </c>
    </row>
    <row r="182" spans="1:11" x14ac:dyDescent="0.25">
      <c r="A182">
        <v>74</v>
      </c>
      <c r="B182" t="s">
        <v>165</v>
      </c>
      <c r="C182" t="s">
        <v>166</v>
      </c>
      <c r="D182" t="s">
        <v>167</v>
      </c>
      <c r="E182" t="s">
        <v>168</v>
      </c>
      <c r="G182" t="s">
        <v>19</v>
      </c>
      <c r="H182" t="s">
        <v>14</v>
      </c>
      <c r="I182" s="2">
        <v>45322</v>
      </c>
      <c r="J182" s="2">
        <v>45443</v>
      </c>
      <c r="K182" t="str">
        <f>VLOOKUP(B182,'20April'!B:G,6,0)</f>
        <v>Have records but not submitted</v>
      </c>
    </row>
    <row r="183" spans="1:11" x14ac:dyDescent="0.25">
      <c r="A183">
        <v>75</v>
      </c>
      <c r="B183" t="s">
        <v>169</v>
      </c>
      <c r="C183" t="s">
        <v>170</v>
      </c>
      <c r="D183" t="s">
        <v>11</v>
      </c>
      <c r="E183" t="s">
        <v>12</v>
      </c>
      <c r="G183" t="s">
        <v>13</v>
      </c>
      <c r="H183" t="s">
        <v>14</v>
      </c>
      <c r="K183" t="str">
        <f>VLOOKUP(B183,'20April'!B:G,6,0)</f>
        <v>No records</v>
      </c>
    </row>
    <row r="184" spans="1:11" x14ac:dyDescent="0.25">
      <c r="A184">
        <v>76</v>
      </c>
      <c r="B184" t="s">
        <v>171</v>
      </c>
      <c r="C184" t="s">
        <v>172</v>
      </c>
      <c r="D184" t="s">
        <v>11</v>
      </c>
      <c r="E184" t="s">
        <v>12</v>
      </c>
      <c r="G184" t="s">
        <v>13</v>
      </c>
      <c r="H184" t="s">
        <v>14</v>
      </c>
      <c r="K184" t="str">
        <f>VLOOKUP(B184,'20April'!B:G,6,0)</f>
        <v>No records</v>
      </c>
    </row>
    <row r="185" spans="1:11" x14ac:dyDescent="0.25">
      <c r="A185">
        <v>77</v>
      </c>
      <c r="B185" t="s">
        <v>173</v>
      </c>
      <c r="C185" s="3" t="s">
        <v>174</v>
      </c>
      <c r="D185" t="s">
        <v>57</v>
      </c>
      <c r="E185" t="s">
        <v>58</v>
      </c>
      <c r="G185" t="s">
        <v>54</v>
      </c>
      <c r="H185" t="s">
        <v>14</v>
      </c>
      <c r="K185" t="str">
        <f>VLOOKUP(B185,'20April'!B:G,6,0)</f>
        <v>Have records but not submitted</v>
      </c>
    </row>
    <row r="186" spans="1:11" x14ac:dyDescent="0.25">
      <c r="A186">
        <v>78</v>
      </c>
      <c r="B186" t="s">
        <v>175</v>
      </c>
      <c r="C186" t="s">
        <v>176</v>
      </c>
      <c r="D186" t="s">
        <v>11</v>
      </c>
      <c r="E186" t="s">
        <v>12</v>
      </c>
      <c r="G186" t="s">
        <v>13</v>
      </c>
      <c r="H186" t="s">
        <v>14</v>
      </c>
      <c r="K186" t="str">
        <f>VLOOKUP(B186,'20April'!B:G,6,0)</f>
        <v>No records</v>
      </c>
    </row>
    <row r="187" spans="1:11" x14ac:dyDescent="0.25">
      <c r="A187">
        <v>241</v>
      </c>
      <c r="B187" t="s">
        <v>520</v>
      </c>
      <c r="C187" t="s">
        <v>521</v>
      </c>
      <c r="D187" t="s">
        <v>17</v>
      </c>
      <c r="E187" t="s">
        <v>18</v>
      </c>
      <c r="F187" t="s">
        <v>522</v>
      </c>
      <c r="G187" t="s">
        <v>19</v>
      </c>
      <c r="H187" t="s">
        <v>290</v>
      </c>
      <c r="I187" s="2">
        <v>45382</v>
      </c>
      <c r="J187" s="2">
        <v>45504</v>
      </c>
      <c r="K187" t="str">
        <f>VLOOKUP(B187,'20April'!B:G,6,0)</f>
        <v>Have records but not submitted</v>
      </c>
    </row>
    <row r="188" spans="1:11" x14ac:dyDescent="0.25">
      <c r="A188">
        <v>242</v>
      </c>
      <c r="B188" t="s">
        <v>523</v>
      </c>
      <c r="C188" t="s">
        <v>521</v>
      </c>
      <c r="D188" t="s">
        <v>17</v>
      </c>
      <c r="E188" t="s">
        <v>18</v>
      </c>
      <c r="F188" t="s">
        <v>524</v>
      </c>
      <c r="G188" t="s">
        <v>19</v>
      </c>
      <c r="H188" t="s">
        <v>290</v>
      </c>
      <c r="I188" s="2">
        <v>45382</v>
      </c>
      <c r="J188" s="2">
        <v>45504</v>
      </c>
      <c r="K188" t="str">
        <f>VLOOKUP(B188,'20April'!B:G,6,0)</f>
        <v>Have records but not submitted</v>
      </c>
    </row>
    <row r="189" spans="1:11" x14ac:dyDescent="0.25">
      <c r="A189">
        <v>243</v>
      </c>
      <c r="B189" t="s">
        <v>525</v>
      </c>
      <c r="C189" t="s">
        <v>526</v>
      </c>
      <c r="D189" t="s">
        <v>11</v>
      </c>
      <c r="E189" t="s">
        <v>12</v>
      </c>
      <c r="F189" t="s">
        <v>527</v>
      </c>
      <c r="G189" t="s">
        <v>13</v>
      </c>
      <c r="H189" t="s">
        <v>290</v>
      </c>
      <c r="K189" t="str">
        <f>VLOOKUP(B189,'20April'!B:G,6,0)</f>
        <v>No records</v>
      </c>
    </row>
    <row r="190" spans="1:11" x14ac:dyDescent="0.25">
      <c r="A190">
        <v>79</v>
      </c>
      <c r="B190" t="s">
        <v>177</v>
      </c>
      <c r="C190" t="s">
        <v>178</v>
      </c>
      <c r="D190" t="s">
        <v>57</v>
      </c>
      <c r="E190" t="s">
        <v>58</v>
      </c>
      <c r="G190" t="s">
        <v>54</v>
      </c>
      <c r="H190" t="s">
        <v>14</v>
      </c>
      <c r="K190" t="str">
        <f>VLOOKUP(B190,'20April'!B:G,6,0)</f>
        <v>Have records and have submitted</v>
      </c>
    </row>
    <row r="191" spans="1:11" x14ac:dyDescent="0.25">
      <c r="A191">
        <v>80</v>
      </c>
      <c r="B191" t="s">
        <v>179</v>
      </c>
      <c r="C191" t="s">
        <v>180</v>
      </c>
      <c r="D191" t="s">
        <v>57</v>
      </c>
      <c r="E191" t="s">
        <v>58</v>
      </c>
      <c r="G191" t="s">
        <v>54</v>
      </c>
      <c r="H191" t="s">
        <v>14</v>
      </c>
      <c r="K191" t="str">
        <f>VLOOKUP(B191,'20April'!B:G,6,0)</f>
        <v>Have records and have submitted</v>
      </c>
    </row>
    <row r="192" spans="1:11" x14ac:dyDescent="0.25">
      <c r="A192">
        <v>81</v>
      </c>
      <c r="B192" t="s">
        <v>181</v>
      </c>
      <c r="C192" t="s">
        <v>182</v>
      </c>
      <c r="D192" t="s">
        <v>17</v>
      </c>
      <c r="E192" t="s">
        <v>18</v>
      </c>
      <c r="G192" t="s">
        <v>19</v>
      </c>
      <c r="H192" t="s">
        <v>14</v>
      </c>
      <c r="I192" s="2">
        <v>45382</v>
      </c>
      <c r="J192" s="2">
        <v>45504</v>
      </c>
      <c r="K192" t="str">
        <f>VLOOKUP(B192,'20April'!B:G,6,0)</f>
        <v>Have records but not submitted</v>
      </c>
    </row>
    <row r="193" spans="1:11" x14ac:dyDescent="0.25">
      <c r="A193">
        <v>82</v>
      </c>
      <c r="B193" t="s">
        <v>183</v>
      </c>
      <c r="C193" t="s">
        <v>184</v>
      </c>
      <c r="D193" t="s">
        <v>17</v>
      </c>
      <c r="E193" t="s">
        <v>18</v>
      </c>
      <c r="G193" t="s">
        <v>19</v>
      </c>
      <c r="H193" t="s">
        <v>14</v>
      </c>
      <c r="I193" s="2">
        <v>45382</v>
      </c>
      <c r="J193" s="2">
        <v>45504</v>
      </c>
      <c r="K193" t="str">
        <f>VLOOKUP(B193,'20April'!B:G,6,0)</f>
        <v>Have records but not submitted</v>
      </c>
    </row>
    <row r="194" spans="1:11" x14ac:dyDescent="0.25">
      <c r="A194">
        <v>83</v>
      </c>
      <c r="B194" t="s">
        <v>185</v>
      </c>
      <c r="C194" t="s">
        <v>186</v>
      </c>
      <c r="D194" t="s">
        <v>17</v>
      </c>
      <c r="E194" t="s">
        <v>18</v>
      </c>
      <c r="G194" t="s">
        <v>19</v>
      </c>
      <c r="H194" t="s">
        <v>14</v>
      </c>
      <c r="I194" s="2">
        <v>45382</v>
      </c>
      <c r="J194" s="2">
        <v>45504</v>
      </c>
      <c r="K194" t="str">
        <f>VLOOKUP(B194,'20April'!B:G,6,0)</f>
        <v>Have records but not submitted</v>
      </c>
    </row>
    <row r="195" spans="1:11" x14ac:dyDescent="0.25">
      <c r="A195">
        <v>84</v>
      </c>
      <c r="B195" t="s">
        <v>187</v>
      </c>
      <c r="C195" t="s">
        <v>188</v>
      </c>
      <c r="D195" t="s">
        <v>11</v>
      </c>
      <c r="E195" t="s">
        <v>12</v>
      </c>
      <c r="G195" t="s">
        <v>13</v>
      </c>
      <c r="H195" t="s">
        <v>14</v>
      </c>
      <c r="K195" t="str">
        <f>VLOOKUP(B195,'20April'!B:G,6,0)</f>
        <v>No records</v>
      </c>
    </row>
    <row r="196" spans="1:11" x14ac:dyDescent="0.25">
      <c r="A196">
        <v>244</v>
      </c>
      <c r="B196" t="s">
        <v>528</v>
      </c>
      <c r="C196" t="s">
        <v>529</v>
      </c>
      <c r="D196" t="s">
        <v>17</v>
      </c>
      <c r="E196" t="s">
        <v>18</v>
      </c>
      <c r="F196" t="s">
        <v>530</v>
      </c>
      <c r="G196" t="s">
        <v>19</v>
      </c>
      <c r="H196" t="s">
        <v>290</v>
      </c>
      <c r="I196" s="2">
        <v>45382</v>
      </c>
      <c r="J196" s="2">
        <v>45504</v>
      </c>
      <c r="K196" t="str">
        <f>VLOOKUP(B196,'20April'!B:G,6,0)</f>
        <v>Have records but not submitted</v>
      </c>
    </row>
    <row r="197" spans="1:11" x14ac:dyDescent="0.25">
      <c r="A197">
        <v>245</v>
      </c>
      <c r="B197" t="s">
        <v>531</v>
      </c>
      <c r="C197" t="s">
        <v>529</v>
      </c>
      <c r="D197" t="s">
        <v>17</v>
      </c>
      <c r="E197" t="s">
        <v>18</v>
      </c>
      <c r="F197" t="s">
        <v>532</v>
      </c>
      <c r="G197" t="s">
        <v>19</v>
      </c>
      <c r="H197" t="s">
        <v>290</v>
      </c>
      <c r="I197" s="2">
        <v>45382</v>
      </c>
      <c r="J197" s="2">
        <v>45504</v>
      </c>
      <c r="K197" t="str">
        <f>VLOOKUP(B197,'20April'!B:G,6,0)</f>
        <v>Have records but not submitted</v>
      </c>
    </row>
    <row r="198" spans="1:11" x14ac:dyDescent="0.25">
      <c r="A198">
        <v>85</v>
      </c>
      <c r="B198" t="s">
        <v>189</v>
      </c>
      <c r="C198" t="s">
        <v>190</v>
      </c>
      <c r="D198" t="s">
        <v>11</v>
      </c>
      <c r="E198" t="s">
        <v>12</v>
      </c>
      <c r="G198" t="s">
        <v>13</v>
      </c>
      <c r="H198" t="s">
        <v>14</v>
      </c>
      <c r="K198" t="str">
        <f>VLOOKUP(B198,'20April'!B:G,6,0)</f>
        <v>No records</v>
      </c>
    </row>
    <row r="199" spans="1:11" x14ac:dyDescent="0.25">
      <c r="A199">
        <v>86</v>
      </c>
      <c r="B199" t="s">
        <v>191</v>
      </c>
      <c r="C199" t="s">
        <v>192</v>
      </c>
      <c r="D199" t="s">
        <v>11</v>
      </c>
      <c r="E199" t="s">
        <v>12</v>
      </c>
      <c r="G199" t="s">
        <v>13</v>
      </c>
      <c r="H199" t="s">
        <v>14</v>
      </c>
      <c r="K199" t="str">
        <f>VLOOKUP(B199,'20April'!B:G,6,0)</f>
        <v>No records</v>
      </c>
    </row>
    <row r="200" spans="1:11" x14ac:dyDescent="0.25">
      <c r="A200">
        <v>87</v>
      </c>
      <c r="B200" t="s">
        <v>193</v>
      </c>
      <c r="C200" t="s">
        <v>194</v>
      </c>
      <c r="D200" t="s">
        <v>57</v>
      </c>
      <c r="E200" t="s">
        <v>58</v>
      </c>
      <c r="G200" t="s">
        <v>54</v>
      </c>
      <c r="H200" t="s">
        <v>14</v>
      </c>
      <c r="K200" t="str">
        <f>VLOOKUP(B200,'20April'!B:G,6,0)</f>
        <v>Have records and have submitted</v>
      </c>
    </row>
    <row r="201" spans="1:11" x14ac:dyDescent="0.25">
      <c r="A201">
        <v>88</v>
      </c>
      <c r="B201" t="s">
        <v>195</v>
      </c>
      <c r="C201" s="3" t="s">
        <v>196</v>
      </c>
      <c r="D201" t="s">
        <v>57</v>
      </c>
      <c r="E201" t="s">
        <v>58</v>
      </c>
      <c r="G201" t="s">
        <v>54</v>
      </c>
      <c r="H201" t="s">
        <v>14</v>
      </c>
      <c r="K201" t="str">
        <f>VLOOKUP(B201,'20April'!B:G,6,0)</f>
        <v>Have records but not submitted</v>
      </c>
    </row>
    <row r="202" spans="1:11" x14ac:dyDescent="0.25">
      <c r="A202">
        <v>89</v>
      </c>
      <c r="B202" t="s">
        <v>197</v>
      </c>
      <c r="C202" t="s">
        <v>198</v>
      </c>
      <c r="D202" t="s">
        <v>11</v>
      </c>
      <c r="E202" t="s">
        <v>12</v>
      </c>
      <c r="G202" t="s">
        <v>13</v>
      </c>
      <c r="H202" t="s">
        <v>14</v>
      </c>
      <c r="K202" t="str">
        <f>VLOOKUP(B202,'20April'!B:G,6,0)</f>
        <v>No records</v>
      </c>
    </row>
    <row r="203" spans="1:11" x14ac:dyDescent="0.25">
      <c r="A203">
        <v>90</v>
      </c>
      <c r="B203" t="s">
        <v>199</v>
      </c>
      <c r="C203" s="3" t="s">
        <v>200</v>
      </c>
      <c r="D203" t="s">
        <v>57</v>
      </c>
      <c r="E203" t="s">
        <v>58</v>
      </c>
      <c r="G203" t="s">
        <v>54</v>
      </c>
      <c r="H203" t="s">
        <v>14</v>
      </c>
      <c r="K203" t="str">
        <f>VLOOKUP(B203,'20April'!B:G,6,0)</f>
        <v>Have records but not submitted</v>
      </c>
    </row>
    <row r="204" spans="1:11" x14ac:dyDescent="0.25">
      <c r="A204">
        <v>91</v>
      </c>
      <c r="B204" t="s">
        <v>201</v>
      </c>
      <c r="C204" t="s">
        <v>202</v>
      </c>
      <c r="D204" t="s">
        <v>17</v>
      </c>
      <c r="E204" t="s">
        <v>18</v>
      </c>
      <c r="G204" t="s">
        <v>19</v>
      </c>
      <c r="H204" t="s">
        <v>14</v>
      </c>
      <c r="I204" s="2">
        <v>45382</v>
      </c>
      <c r="J204" s="2">
        <v>45504</v>
      </c>
      <c r="K204" t="str">
        <f>VLOOKUP(B204,'20April'!B:G,6,0)</f>
        <v>Have records but not submitted</v>
      </c>
    </row>
    <row r="205" spans="1:11" x14ac:dyDescent="0.25">
      <c r="A205">
        <v>92</v>
      </c>
      <c r="B205" t="s">
        <v>203</v>
      </c>
      <c r="C205" t="s">
        <v>204</v>
      </c>
      <c r="D205" t="s">
        <v>17</v>
      </c>
      <c r="E205" t="s">
        <v>18</v>
      </c>
      <c r="G205" t="s">
        <v>19</v>
      </c>
      <c r="H205" t="s">
        <v>14</v>
      </c>
      <c r="I205" s="2">
        <v>45382</v>
      </c>
      <c r="J205" s="2">
        <v>45504</v>
      </c>
      <c r="K205" t="str">
        <f>VLOOKUP(B205,'20April'!B:G,6,0)</f>
        <v>Have records but not submitted</v>
      </c>
    </row>
    <row r="206" spans="1:11" x14ac:dyDescent="0.25">
      <c r="A206">
        <v>93</v>
      </c>
      <c r="B206" t="s">
        <v>205</v>
      </c>
      <c r="C206" s="3" t="s">
        <v>206</v>
      </c>
      <c r="D206" t="s">
        <v>57</v>
      </c>
      <c r="E206" t="s">
        <v>58</v>
      </c>
      <c r="G206" t="s">
        <v>54</v>
      </c>
      <c r="H206" t="s">
        <v>14</v>
      </c>
      <c r="K206" t="str">
        <f>VLOOKUP(B206,'20April'!B:G,6,0)</f>
        <v>Have records but not submitted</v>
      </c>
    </row>
    <row r="207" spans="1:11" x14ac:dyDescent="0.25">
      <c r="A207">
        <v>94</v>
      </c>
      <c r="B207" t="s">
        <v>207</v>
      </c>
      <c r="C207" s="3" t="s">
        <v>208</v>
      </c>
      <c r="D207" t="s">
        <v>57</v>
      </c>
      <c r="E207" t="s">
        <v>58</v>
      </c>
      <c r="G207" t="s">
        <v>54</v>
      </c>
      <c r="H207" t="s">
        <v>14</v>
      </c>
      <c r="K207" t="str">
        <f>VLOOKUP(B207,'20April'!B:G,6,0)</f>
        <v>Have records but not submitted</v>
      </c>
    </row>
    <row r="208" spans="1:11" x14ac:dyDescent="0.25">
      <c r="A208">
        <v>95</v>
      </c>
      <c r="B208" t="s">
        <v>209</v>
      </c>
      <c r="C208" t="s">
        <v>210</v>
      </c>
      <c r="D208" t="s">
        <v>17</v>
      </c>
      <c r="E208" t="s">
        <v>18</v>
      </c>
      <c r="G208" t="s">
        <v>19</v>
      </c>
      <c r="H208" t="s">
        <v>14</v>
      </c>
      <c r="I208" s="2">
        <v>45382</v>
      </c>
      <c r="J208" s="2">
        <v>45504</v>
      </c>
      <c r="K208" t="str">
        <f>VLOOKUP(B208,'20April'!B:G,6,0)</f>
        <v>Have records but not submitted</v>
      </c>
    </row>
    <row r="209" spans="1:11" x14ac:dyDescent="0.25">
      <c r="A209">
        <v>96</v>
      </c>
      <c r="B209" t="s">
        <v>567</v>
      </c>
      <c r="C209" t="s">
        <v>568</v>
      </c>
      <c r="D209" t="s">
        <v>11</v>
      </c>
      <c r="E209" t="s">
        <v>12</v>
      </c>
      <c r="G209" t="s">
        <v>13</v>
      </c>
      <c r="H209" t="s">
        <v>14</v>
      </c>
      <c r="K209" t="e">
        <f>VLOOKUP(B209,'20April'!B:G,6,0)</f>
        <v>#N/A</v>
      </c>
    </row>
    <row r="210" spans="1:11" x14ac:dyDescent="0.25">
      <c r="A210">
        <v>97</v>
      </c>
      <c r="B210" t="s">
        <v>211</v>
      </c>
      <c r="C210" s="3" t="s">
        <v>212</v>
      </c>
      <c r="D210" t="s">
        <v>57</v>
      </c>
      <c r="E210" t="s">
        <v>58</v>
      </c>
      <c r="G210" t="s">
        <v>54</v>
      </c>
      <c r="H210" t="s">
        <v>14</v>
      </c>
      <c r="K210" t="str">
        <f>VLOOKUP(B210,'20April'!B:G,6,0)</f>
        <v>Have records but not submitted</v>
      </c>
    </row>
    <row r="211" spans="1:11" x14ac:dyDescent="0.25">
      <c r="A211">
        <v>98</v>
      </c>
      <c r="B211" t="s">
        <v>213</v>
      </c>
      <c r="C211" t="s">
        <v>214</v>
      </c>
      <c r="D211" t="s">
        <v>57</v>
      </c>
      <c r="E211" t="s">
        <v>58</v>
      </c>
      <c r="G211" t="s">
        <v>54</v>
      </c>
      <c r="H211" t="s">
        <v>14</v>
      </c>
      <c r="K211" t="str">
        <f>VLOOKUP(B211,'20April'!B:G,6,0)</f>
        <v>Have records and have submitted</v>
      </c>
    </row>
    <row r="212" spans="1:11" x14ac:dyDescent="0.25">
      <c r="A212">
        <v>99</v>
      </c>
      <c r="B212" t="s">
        <v>215</v>
      </c>
      <c r="C212" t="s">
        <v>216</v>
      </c>
      <c r="D212" t="s">
        <v>17</v>
      </c>
      <c r="E212" t="s">
        <v>18</v>
      </c>
      <c r="G212" t="s">
        <v>19</v>
      </c>
      <c r="H212" t="s">
        <v>14</v>
      </c>
      <c r="I212" s="2">
        <v>45382</v>
      </c>
      <c r="J212" s="2">
        <v>45504</v>
      </c>
      <c r="K212" t="str">
        <f>VLOOKUP(B212,'20April'!B:G,6,0)</f>
        <v>Have records but not submitted</v>
      </c>
    </row>
    <row r="213" spans="1:11" x14ac:dyDescent="0.25">
      <c r="A213">
        <v>246</v>
      </c>
      <c r="B213" t="s">
        <v>533</v>
      </c>
      <c r="C213" t="s">
        <v>534</v>
      </c>
      <c r="D213" t="s">
        <v>17</v>
      </c>
      <c r="E213" t="s">
        <v>18</v>
      </c>
      <c r="F213" t="s">
        <v>535</v>
      </c>
      <c r="G213" t="s">
        <v>19</v>
      </c>
      <c r="H213" t="s">
        <v>290</v>
      </c>
      <c r="I213" s="2">
        <v>45382</v>
      </c>
      <c r="J213" s="2">
        <v>45504</v>
      </c>
      <c r="K213" t="str">
        <f>VLOOKUP(B213,'20April'!B:G,6,0)</f>
        <v>Have records but not submitted</v>
      </c>
    </row>
    <row r="214" spans="1:11" x14ac:dyDescent="0.25">
      <c r="A214">
        <v>247</v>
      </c>
      <c r="B214" t="s">
        <v>536</v>
      </c>
      <c r="C214" t="s">
        <v>534</v>
      </c>
      <c r="D214" t="s">
        <v>17</v>
      </c>
      <c r="E214" t="s">
        <v>18</v>
      </c>
      <c r="F214" t="s">
        <v>537</v>
      </c>
      <c r="G214" t="s">
        <v>19</v>
      </c>
      <c r="H214" t="s">
        <v>290</v>
      </c>
      <c r="I214" s="2">
        <v>45382</v>
      </c>
      <c r="J214" s="2">
        <v>45504</v>
      </c>
      <c r="K214" t="str">
        <f>VLOOKUP(B214,'20April'!B:G,6,0)</f>
        <v>Have records but not submitted</v>
      </c>
    </row>
    <row r="215" spans="1:11" x14ac:dyDescent="0.25">
      <c r="A215">
        <v>100</v>
      </c>
      <c r="B215" t="s">
        <v>217</v>
      </c>
      <c r="C215" t="s">
        <v>218</v>
      </c>
      <c r="D215" t="s">
        <v>11</v>
      </c>
      <c r="E215" t="s">
        <v>12</v>
      </c>
      <c r="G215" t="s">
        <v>13</v>
      </c>
      <c r="H215" t="s">
        <v>14</v>
      </c>
      <c r="K215" t="str">
        <f>VLOOKUP(B215,'20April'!B:G,6,0)</f>
        <v>No records</v>
      </c>
    </row>
    <row r="216" spans="1:11" x14ac:dyDescent="0.25">
      <c r="A216">
        <v>101</v>
      </c>
      <c r="B216" t="s">
        <v>219</v>
      </c>
      <c r="C216" t="s">
        <v>220</v>
      </c>
      <c r="D216" t="s">
        <v>11</v>
      </c>
      <c r="E216" t="s">
        <v>12</v>
      </c>
      <c r="G216" t="s">
        <v>13</v>
      </c>
      <c r="H216" t="s">
        <v>14</v>
      </c>
      <c r="K216" t="str">
        <f>VLOOKUP(B216,'20April'!B:G,6,0)</f>
        <v>No records</v>
      </c>
    </row>
    <row r="217" spans="1:11" x14ac:dyDescent="0.25">
      <c r="A217">
        <v>102</v>
      </c>
      <c r="B217" t="s">
        <v>221</v>
      </c>
      <c r="C217" t="s">
        <v>222</v>
      </c>
      <c r="D217" t="s">
        <v>11</v>
      </c>
      <c r="E217" t="s">
        <v>12</v>
      </c>
      <c r="G217" t="s">
        <v>13</v>
      </c>
      <c r="H217" t="s">
        <v>14</v>
      </c>
      <c r="K217" t="str">
        <f>VLOOKUP(B217,'20April'!B:G,6,0)</f>
        <v>No records</v>
      </c>
    </row>
    <row r="218" spans="1:11" x14ac:dyDescent="0.25">
      <c r="A218">
        <v>103</v>
      </c>
      <c r="B218" t="s">
        <v>223</v>
      </c>
      <c r="C218" t="s">
        <v>224</v>
      </c>
      <c r="D218" t="s">
        <v>17</v>
      </c>
      <c r="E218" t="s">
        <v>18</v>
      </c>
      <c r="G218" t="s">
        <v>19</v>
      </c>
      <c r="H218" t="s">
        <v>14</v>
      </c>
      <c r="I218" s="2">
        <v>45382</v>
      </c>
      <c r="J218" s="2">
        <v>45504</v>
      </c>
      <c r="K218" t="str">
        <f>VLOOKUP(B218,'20April'!B:G,6,0)</f>
        <v>Have records but not submitted</v>
      </c>
    </row>
    <row r="219" spans="1:11" x14ac:dyDescent="0.25">
      <c r="A219">
        <v>248</v>
      </c>
      <c r="B219" t="s">
        <v>538</v>
      </c>
      <c r="C219" t="s">
        <v>539</v>
      </c>
      <c r="D219" t="s">
        <v>17</v>
      </c>
      <c r="E219" t="s">
        <v>18</v>
      </c>
      <c r="F219" t="s">
        <v>540</v>
      </c>
      <c r="G219" t="s">
        <v>19</v>
      </c>
      <c r="H219" t="s">
        <v>290</v>
      </c>
      <c r="I219" s="2">
        <v>45382</v>
      </c>
      <c r="J219" s="2">
        <v>45504</v>
      </c>
      <c r="K219" t="str">
        <f>VLOOKUP(B219,'20April'!B:G,6,0)</f>
        <v>Have records but not submitted</v>
      </c>
    </row>
    <row r="220" spans="1:11" x14ac:dyDescent="0.25">
      <c r="A220">
        <v>249</v>
      </c>
      <c r="B220" t="s">
        <v>541</v>
      </c>
      <c r="C220" t="s">
        <v>539</v>
      </c>
      <c r="D220" t="s">
        <v>17</v>
      </c>
      <c r="E220" t="s">
        <v>18</v>
      </c>
      <c r="F220" t="s">
        <v>542</v>
      </c>
      <c r="G220" t="s">
        <v>19</v>
      </c>
      <c r="H220" t="s">
        <v>290</v>
      </c>
      <c r="I220" s="2">
        <v>45382</v>
      </c>
      <c r="J220" s="2">
        <v>45504</v>
      </c>
      <c r="K220" t="str">
        <f>VLOOKUP(B220,'20April'!B:G,6,0)</f>
        <v>Have records but not submitted</v>
      </c>
    </row>
    <row r="221" spans="1:11" x14ac:dyDescent="0.25">
      <c r="A221">
        <v>250</v>
      </c>
      <c r="B221" t="s">
        <v>543</v>
      </c>
      <c r="C221" t="s">
        <v>539</v>
      </c>
      <c r="D221" t="s">
        <v>17</v>
      </c>
      <c r="E221" t="s">
        <v>18</v>
      </c>
      <c r="F221" t="s">
        <v>544</v>
      </c>
      <c r="G221" t="s">
        <v>19</v>
      </c>
      <c r="H221" t="s">
        <v>290</v>
      </c>
      <c r="I221" s="2">
        <v>45382</v>
      </c>
      <c r="J221" s="2">
        <v>45504</v>
      </c>
      <c r="K221" t="str">
        <f>VLOOKUP(B221,'20April'!B:G,6,0)</f>
        <v>Have records but not submitted</v>
      </c>
    </row>
    <row r="222" spans="1:11" x14ac:dyDescent="0.25">
      <c r="A222">
        <v>251</v>
      </c>
      <c r="B222" t="s">
        <v>545</v>
      </c>
      <c r="C222" t="s">
        <v>539</v>
      </c>
      <c r="D222" t="s">
        <v>17</v>
      </c>
      <c r="E222" t="s">
        <v>18</v>
      </c>
      <c r="F222" t="s">
        <v>546</v>
      </c>
      <c r="G222" t="s">
        <v>19</v>
      </c>
      <c r="H222" t="s">
        <v>290</v>
      </c>
      <c r="I222" s="2">
        <v>45382</v>
      </c>
      <c r="J222" s="2">
        <v>45504</v>
      </c>
      <c r="K222" t="str">
        <f>VLOOKUP(B222,'20April'!B:G,6,0)</f>
        <v>Have records but not submitted</v>
      </c>
    </row>
    <row r="223" spans="1:11" x14ac:dyDescent="0.25">
      <c r="A223">
        <v>252</v>
      </c>
      <c r="B223" t="s">
        <v>547</v>
      </c>
      <c r="C223" t="s">
        <v>539</v>
      </c>
      <c r="D223" t="s">
        <v>17</v>
      </c>
      <c r="E223" t="s">
        <v>18</v>
      </c>
      <c r="F223" t="s">
        <v>548</v>
      </c>
      <c r="G223" t="s">
        <v>19</v>
      </c>
      <c r="H223" t="s">
        <v>290</v>
      </c>
      <c r="I223" s="2">
        <v>45382</v>
      </c>
      <c r="J223" s="2">
        <v>45504</v>
      </c>
      <c r="K223" t="str">
        <f>VLOOKUP(B223,'20April'!B:G,6,0)</f>
        <v>Have records but not submitted</v>
      </c>
    </row>
    <row r="224" spans="1:11" x14ac:dyDescent="0.25">
      <c r="A224">
        <v>253</v>
      </c>
      <c r="B224" t="s">
        <v>549</v>
      </c>
      <c r="C224" t="s">
        <v>539</v>
      </c>
      <c r="D224" t="s">
        <v>17</v>
      </c>
      <c r="E224" t="s">
        <v>18</v>
      </c>
      <c r="F224" t="s">
        <v>550</v>
      </c>
      <c r="G224" t="s">
        <v>19</v>
      </c>
      <c r="H224" t="s">
        <v>290</v>
      </c>
      <c r="I224" s="2">
        <v>45382</v>
      </c>
      <c r="J224" s="2">
        <v>45504</v>
      </c>
      <c r="K224" t="str">
        <f>VLOOKUP(B224,'20April'!B:G,6,0)</f>
        <v>Have records but not submitted</v>
      </c>
    </row>
    <row r="225" spans="1:11" x14ac:dyDescent="0.25">
      <c r="A225">
        <v>254</v>
      </c>
      <c r="B225" t="s">
        <v>551</v>
      </c>
      <c r="C225" t="s">
        <v>539</v>
      </c>
      <c r="D225" t="s">
        <v>17</v>
      </c>
      <c r="E225" t="s">
        <v>18</v>
      </c>
      <c r="F225" t="s">
        <v>552</v>
      </c>
      <c r="G225" t="s">
        <v>19</v>
      </c>
      <c r="H225" t="s">
        <v>290</v>
      </c>
      <c r="I225" s="2">
        <v>45382</v>
      </c>
      <c r="J225" s="2">
        <v>45504</v>
      </c>
      <c r="K225" t="str">
        <f>VLOOKUP(B225,'20April'!B:G,6,0)</f>
        <v>Have records but not submitted</v>
      </c>
    </row>
    <row r="226" spans="1:11" x14ac:dyDescent="0.25">
      <c r="A226">
        <v>255</v>
      </c>
      <c r="B226" t="s">
        <v>553</v>
      </c>
      <c r="C226" t="s">
        <v>539</v>
      </c>
      <c r="D226" t="s">
        <v>17</v>
      </c>
      <c r="E226" t="s">
        <v>18</v>
      </c>
      <c r="F226" t="s">
        <v>554</v>
      </c>
      <c r="G226" t="s">
        <v>19</v>
      </c>
      <c r="H226" t="s">
        <v>290</v>
      </c>
      <c r="I226" s="2">
        <v>45382</v>
      </c>
      <c r="J226" s="2">
        <v>45504</v>
      </c>
      <c r="K226" t="str">
        <f>VLOOKUP(B226,'20April'!B:G,6,0)</f>
        <v>Have records but not submitted</v>
      </c>
    </row>
    <row r="227" spans="1:11" x14ac:dyDescent="0.25">
      <c r="A227">
        <v>256</v>
      </c>
      <c r="B227" t="s">
        <v>555</v>
      </c>
      <c r="C227" t="s">
        <v>539</v>
      </c>
      <c r="D227" t="s">
        <v>17</v>
      </c>
      <c r="E227" t="s">
        <v>18</v>
      </c>
      <c r="F227" t="s">
        <v>556</v>
      </c>
      <c r="G227" t="s">
        <v>19</v>
      </c>
      <c r="H227" t="s">
        <v>290</v>
      </c>
      <c r="I227" s="2">
        <v>45382</v>
      </c>
      <c r="J227" s="2">
        <v>45504</v>
      </c>
      <c r="K227" t="str">
        <f>VLOOKUP(B227,'20April'!B:G,6,0)</f>
        <v>Have records but not submitted</v>
      </c>
    </row>
    <row r="228" spans="1:11" x14ac:dyDescent="0.25">
      <c r="A228">
        <v>257</v>
      </c>
      <c r="B228" t="s">
        <v>557</v>
      </c>
      <c r="C228" t="s">
        <v>539</v>
      </c>
      <c r="D228" t="s">
        <v>17</v>
      </c>
      <c r="E228" t="s">
        <v>18</v>
      </c>
      <c r="F228" t="s">
        <v>558</v>
      </c>
      <c r="G228" t="s">
        <v>19</v>
      </c>
      <c r="H228" t="s">
        <v>290</v>
      </c>
      <c r="I228" s="2">
        <v>45382</v>
      </c>
      <c r="J228" s="2">
        <v>45504</v>
      </c>
      <c r="K228" t="str">
        <f>VLOOKUP(B228,'20April'!B:G,6,0)</f>
        <v>Have records but not submitted</v>
      </c>
    </row>
    <row r="229" spans="1:11" x14ac:dyDescent="0.25">
      <c r="A229">
        <v>104</v>
      </c>
      <c r="B229" t="s">
        <v>225</v>
      </c>
      <c r="C229" t="s">
        <v>226</v>
      </c>
      <c r="D229" t="s">
        <v>11</v>
      </c>
      <c r="E229" t="s">
        <v>12</v>
      </c>
      <c r="G229" t="s">
        <v>13</v>
      </c>
      <c r="H229" t="s">
        <v>14</v>
      </c>
      <c r="K229" t="str">
        <f>VLOOKUP(B229,'20April'!B:G,6,0)</f>
        <v>No records</v>
      </c>
    </row>
    <row r="230" spans="1:11" x14ac:dyDescent="0.25">
      <c r="A230">
        <v>105</v>
      </c>
      <c r="B230" t="s">
        <v>227</v>
      </c>
      <c r="C230" t="s">
        <v>228</v>
      </c>
      <c r="D230" t="s">
        <v>11</v>
      </c>
      <c r="E230" t="s">
        <v>12</v>
      </c>
      <c r="G230" t="s">
        <v>13</v>
      </c>
      <c r="H230" t="s">
        <v>14</v>
      </c>
      <c r="K230" t="str">
        <f>VLOOKUP(B230,'20April'!B:G,6,0)</f>
        <v>No records</v>
      </c>
    </row>
    <row r="231" spans="1:11" x14ac:dyDescent="0.25">
      <c r="A231">
        <v>106</v>
      </c>
      <c r="B231" t="s">
        <v>229</v>
      </c>
      <c r="C231" t="s">
        <v>230</v>
      </c>
      <c r="D231" t="s">
        <v>17</v>
      </c>
      <c r="E231" t="s">
        <v>18</v>
      </c>
      <c r="G231" t="s">
        <v>19</v>
      </c>
      <c r="H231" t="s">
        <v>14</v>
      </c>
      <c r="I231" s="2">
        <v>45382</v>
      </c>
      <c r="J231" s="2">
        <v>45504</v>
      </c>
      <c r="K231" t="str">
        <f>VLOOKUP(B231,'20April'!B:G,6,0)</f>
        <v>Have records but not submitted</v>
      </c>
    </row>
    <row r="232" spans="1:11" x14ac:dyDescent="0.25">
      <c r="A232">
        <v>107</v>
      </c>
      <c r="B232" t="s">
        <v>231</v>
      </c>
      <c r="C232" t="s">
        <v>232</v>
      </c>
      <c r="D232" t="s">
        <v>11</v>
      </c>
      <c r="E232" t="s">
        <v>12</v>
      </c>
      <c r="G232" t="s">
        <v>13</v>
      </c>
      <c r="H232" t="s">
        <v>14</v>
      </c>
      <c r="K232" t="str">
        <f>VLOOKUP(B232,'20April'!B:G,6,0)</f>
        <v>No records</v>
      </c>
    </row>
    <row r="233" spans="1:11" x14ac:dyDescent="0.25">
      <c r="A233">
        <v>108</v>
      </c>
      <c r="B233" t="s">
        <v>233</v>
      </c>
      <c r="C233" t="s">
        <v>234</v>
      </c>
      <c r="D233" t="s">
        <v>11</v>
      </c>
      <c r="E233" t="s">
        <v>12</v>
      </c>
      <c r="G233" t="s">
        <v>13</v>
      </c>
      <c r="H233" t="s">
        <v>14</v>
      </c>
      <c r="K233" t="str">
        <f>VLOOKUP(B233,'20April'!B:G,6,0)</f>
        <v>No records</v>
      </c>
    </row>
    <row r="234" spans="1:11" x14ac:dyDescent="0.25">
      <c r="A234">
        <v>109</v>
      </c>
      <c r="B234" t="s">
        <v>235</v>
      </c>
      <c r="C234" t="s">
        <v>236</v>
      </c>
      <c r="D234" t="s">
        <v>11</v>
      </c>
      <c r="E234" t="s">
        <v>12</v>
      </c>
      <c r="G234" t="s">
        <v>13</v>
      </c>
      <c r="H234" t="s">
        <v>14</v>
      </c>
      <c r="K234" t="str">
        <f>VLOOKUP(B234,'20April'!B:G,6,0)</f>
        <v>No records</v>
      </c>
    </row>
    <row r="235" spans="1:11" x14ac:dyDescent="0.25">
      <c r="A235">
        <v>110</v>
      </c>
      <c r="B235" t="s">
        <v>237</v>
      </c>
      <c r="C235" t="s">
        <v>238</v>
      </c>
      <c r="D235" t="s">
        <v>17</v>
      </c>
      <c r="E235" t="s">
        <v>18</v>
      </c>
      <c r="G235" t="s">
        <v>19</v>
      </c>
      <c r="H235" t="s">
        <v>14</v>
      </c>
      <c r="I235" s="2">
        <v>45382</v>
      </c>
      <c r="J235" s="2">
        <v>45504</v>
      </c>
      <c r="K235" t="str">
        <f>VLOOKUP(B235,'20April'!B:G,6,0)</f>
        <v>Have records but not submitted</v>
      </c>
    </row>
    <row r="236" spans="1:11" x14ac:dyDescent="0.25">
      <c r="A236">
        <v>111</v>
      </c>
      <c r="B236" t="s">
        <v>239</v>
      </c>
      <c r="C236" t="s">
        <v>240</v>
      </c>
      <c r="D236" t="s">
        <v>17</v>
      </c>
      <c r="E236" t="s">
        <v>18</v>
      </c>
      <c r="G236" t="s">
        <v>19</v>
      </c>
      <c r="H236" t="s">
        <v>14</v>
      </c>
      <c r="I236" s="2">
        <v>45382</v>
      </c>
      <c r="J236" s="2">
        <v>45504</v>
      </c>
      <c r="K236" t="str">
        <f>VLOOKUP(B236,'20April'!B:G,6,0)</f>
        <v>Have records but not submitted</v>
      </c>
    </row>
    <row r="237" spans="1:11" x14ac:dyDescent="0.25">
      <c r="A237">
        <v>112</v>
      </c>
      <c r="B237" t="s">
        <v>241</v>
      </c>
      <c r="C237" t="s">
        <v>242</v>
      </c>
      <c r="D237" t="s">
        <v>57</v>
      </c>
      <c r="E237" t="s">
        <v>58</v>
      </c>
      <c r="G237" t="s">
        <v>54</v>
      </c>
      <c r="H237" t="s">
        <v>14</v>
      </c>
      <c r="K237" t="str">
        <f>VLOOKUP(B237,'20April'!B:G,6,0)</f>
        <v>Have records and have submitted</v>
      </c>
    </row>
    <row r="238" spans="1:11" x14ac:dyDescent="0.25">
      <c r="A238">
        <v>113</v>
      </c>
      <c r="B238" t="s">
        <v>243</v>
      </c>
      <c r="C238" s="3" t="s">
        <v>244</v>
      </c>
      <c r="D238" t="s">
        <v>57</v>
      </c>
      <c r="E238" t="s">
        <v>58</v>
      </c>
      <c r="G238" t="s">
        <v>54</v>
      </c>
      <c r="H238" t="s">
        <v>14</v>
      </c>
      <c r="K238" t="str">
        <f>VLOOKUP(B238,'20April'!B:G,6,0)</f>
        <v>Have records but not submitted</v>
      </c>
    </row>
    <row r="239" spans="1:11" x14ac:dyDescent="0.25">
      <c r="A239">
        <v>114</v>
      </c>
      <c r="B239" t="s">
        <v>245</v>
      </c>
      <c r="C239" t="s">
        <v>246</v>
      </c>
      <c r="D239" t="s">
        <v>57</v>
      </c>
      <c r="E239" t="s">
        <v>58</v>
      </c>
      <c r="G239" t="s">
        <v>54</v>
      </c>
      <c r="H239" t="s">
        <v>14</v>
      </c>
      <c r="K239" t="str">
        <f>VLOOKUP(B239,'20April'!B:G,6,0)</f>
        <v>Have records and have submitted</v>
      </c>
    </row>
    <row r="240" spans="1:11" x14ac:dyDescent="0.25">
      <c r="A240">
        <v>115</v>
      </c>
      <c r="B240" t="s">
        <v>247</v>
      </c>
      <c r="C240" t="s">
        <v>248</v>
      </c>
      <c r="D240" t="s">
        <v>17</v>
      </c>
      <c r="E240" t="s">
        <v>18</v>
      </c>
      <c r="G240" t="s">
        <v>19</v>
      </c>
      <c r="H240" t="s">
        <v>14</v>
      </c>
      <c r="I240" s="2">
        <v>45382</v>
      </c>
      <c r="J240" s="2">
        <v>45504</v>
      </c>
      <c r="K240" t="str">
        <f>VLOOKUP(B240,'20April'!B:G,6,0)</f>
        <v>Have records but not submitted</v>
      </c>
    </row>
    <row r="241" spans="1:11" x14ac:dyDescent="0.25">
      <c r="A241">
        <v>116</v>
      </c>
      <c r="B241" t="s">
        <v>249</v>
      </c>
      <c r="C241" t="s">
        <v>250</v>
      </c>
      <c r="D241" t="s">
        <v>11</v>
      </c>
      <c r="E241" t="s">
        <v>12</v>
      </c>
      <c r="G241" t="s">
        <v>13</v>
      </c>
      <c r="H241" t="s">
        <v>14</v>
      </c>
      <c r="K241" t="str">
        <f>VLOOKUP(B241,'20April'!B:G,6,0)</f>
        <v>No records</v>
      </c>
    </row>
    <row r="242" spans="1:11" x14ac:dyDescent="0.25">
      <c r="A242">
        <v>117</v>
      </c>
      <c r="B242" t="s">
        <v>251</v>
      </c>
      <c r="C242" t="s">
        <v>252</v>
      </c>
      <c r="D242" t="s">
        <v>11</v>
      </c>
      <c r="E242" t="s">
        <v>12</v>
      </c>
      <c r="G242" t="s">
        <v>13</v>
      </c>
      <c r="H242" t="s">
        <v>14</v>
      </c>
      <c r="K242" t="str">
        <f>VLOOKUP(B242,'20April'!B:G,6,0)</f>
        <v>No records</v>
      </c>
    </row>
    <row r="243" spans="1:11" x14ac:dyDescent="0.25">
      <c r="A243">
        <v>118</v>
      </c>
      <c r="B243" t="s">
        <v>253</v>
      </c>
      <c r="C243" t="s">
        <v>254</v>
      </c>
      <c r="D243" t="s">
        <v>11</v>
      </c>
      <c r="E243" t="s">
        <v>12</v>
      </c>
      <c r="G243" t="s">
        <v>13</v>
      </c>
      <c r="H243" t="s">
        <v>14</v>
      </c>
      <c r="K243" t="str">
        <f>VLOOKUP(B243,'20April'!B:G,6,0)</f>
        <v>No records</v>
      </c>
    </row>
    <row r="244" spans="1:11" x14ac:dyDescent="0.25">
      <c r="A244">
        <v>119</v>
      </c>
      <c r="B244" t="s">
        <v>255</v>
      </c>
      <c r="C244" t="s">
        <v>256</v>
      </c>
      <c r="D244" t="s">
        <v>17</v>
      </c>
      <c r="E244" t="s">
        <v>18</v>
      </c>
      <c r="G244" t="s">
        <v>19</v>
      </c>
      <c r="H244" t="s">
        <v>14</v>
      </c>
      <c r="I244" s="2">
        <v>45382</v>
      </c>
      <c r="J244" s="2">
        <v>45504</v>
      </c>
      <c r="K244" t="str">
        <f>VLOOKUP(B244,'20April'!B:G,6,0)</f>
        <v>Have records but not submitted</v>
      </c>
    </row>
    <row r="245" spans="1:11" x14ac:dyDescent="0.25">
      <c r="A245">
        <v>120</v>
      </c>
      <c r="B245" t="s">
        <v>257</v>
      </c>
      <c r="C245" t="s">
        <v>258</v>
      </c>
      <c r="D245" t="s">
        <v>11</v>
      </c>
      <c r="E245" t="s">
        <v>12</v>
      </c>
      <c r="G245" t="s">
        <v>13</v>
      </c>
      <c r="H245" t="s">
        <v>14</v>
      </c>
      <c r="K245" t="str">
        <f>VLOOKUP(B245,'20April'!B:G,6,0)</f>
        <v>No records</v>
      </c>
    </row>
    <row r="246" spans="1:11" x14ac:dyDescent="0.25">
      <c r="A246">
        <v>121</v>
      </c>
      <c r="B246" t="s">
        <v>259</v>
      </c>
      <c r="C246" s="3" t="s">
        <v>260</v>
      </c>
      <c r="D246" t="s">
        <v>57</v>
      </c>
      <c r="E246" t="s">
        <v>58</v>
      </c>
      <c r="G246" t="s">
        <v>54</v>
      </c>
      <c r="H246" t="s">
        <v>14</v>
      </c>
      <c r="K246" t="str">
        <f>VLOOKUP(B246,'20April'!B:G,6,0)</f>
        <v>Have records but not submitted</v>
      </c>
    </row>
    <row r="247" spans="1:11" x14ac:dyDescent="0.25">
      <c r="A247">
        <v>122</v>
      </c>
      <c r="B247" t="s">
        <v>261</v>
      </c>
      <c r="C247" t="s">
        <v>262</v>
      </c>
      <c r="D247" t="s">
        <v>11</v>
      </c>
      <c r="E247" t="s">
        <v>12</v>
      </c>
      <c r="G247" t="s">
        <v>13</v>
      </c>
      <c r="H247" t="s">
        <v>14</v>
      </c>
      <c r="K247" t="str">
        <f>VLOOKUP(B247,'20April'!B:G,6,0)</f>
        <v>No records</v>
      </c>
    </row>
    <row r="248" spans="1:11" x14ac:dyDescent="0.25">
      <c r="A248">
        <v>123</v>
      </c>
      <c r="B248" t="s">
        <v>263</v>
      </c>
      <c r="C248" t="s">
        <v>264</v>
      </c>
      <c r="D248" t="s">
        <v>11</v>
      </c>
      <c r="E248" t="s">
        <v>12</v>
      </c>
      <c r="G248" t="s">
        <v>13</v>
      </c>
      <c r="H248" t="s">
        <v>14</v>
      </c>
      <c r="K248" t="str">
        <f>VLOOKUP(B248,'20April'!B:G,6,0)</f>
        <v>No records</v>
      </c>
    </row>
    <row r="249" spans="1:11" x14ac:dyDescent="0.25">
      <c r="A249">
        <v>124</v>
      </c>
      <c r="B249" t="s">
        <v>265</v>
      </c>
      <c r="C249" t="s">
        <v>266</v>
      </c>
      <c r="D249" t="s">
        <v>17</v>
      </c>
      <c r="E249" t="s">
        <v>18</v>
      </c>
      <c r="G249" t="s">
        <v>19</v>
      </c>
      <c r="H249" t="s">
        <v>14</v>
      </c>
      <c r="I249" s="2">
        <v>45382</v>
      </c>
      <c r="J249" s="2">
        <v>45504</v>
      </c>
      <c r="K249" t="str">
        <f>VLOOKUP(B249,'20April'!B:G,6,0)</f>
        <v>Have records but not submitted</v>
      </c>
    </row>
    <row r="250" spans="1:11" x14ac:dyDescent="0.25">
      <c r="A250">
        <v>125</v>
      </c>
      <c r="B250" t="s">
        <v>267</v>
      </c>
      <c r="C250" t="s">
        <v>268</v>
      </c>
      <c r="D250" t="s">
        <v>17</v>
      </c>
      <c r="E250" t="s">
        <v>18</v>
      </c>
      <c r="G250" t="s">
        <v>19</v>
      </c>
      <c r="H250" t="s">
        <v>14</v>
      </c>
      <c r="I250" s="2">
        <v>45382</v>
      </c>
      <c r="J250" s="2">
        <v>45504</v>
      </c>
      <c r="K250" t="str">
        <f>VLOOKUP(B250,'20April'!B:G,6,0)</f>
        <v>Have records but not submitted</v>
      </c>
    </row>
    <row r="251" spans="1:11" x14ac:dyDescent="0.25">
      <c r="A251">
        <v>126</v>
      </c>
      <c r="B251" t="s">
        <v>269</v>
      </c>
      <c r="C251" t="s">
        <v>270</v>
      </c>
      <c r="D251" t="s">
        <v>11</v>
      </c>
      <c r="E251" t="s">
        <v>12</v>
      </c>
      <c r="G251" t="s">
        <v>13</v>
      </c>
      <c r="H251" t="s">
        <v>14</v>
      </c>
      <c r="K251" t="str">
        <f>VLOOKUP(B251,'20April'!B:G,6,0)</f>
        <v>No records</v>
      </c>
    </row>
    <row r="252" spans="1:11" x14ac:dyDescent="0.25">
      <c r="A252">
        <v>127</v>
      </c>
      <c r="B252" t="s">
        <v>271</v>
      </c>
      <c r="C252" s="3" t="s">
        <v>272</v>
      </c>
      <c r="D252" t="s">
        <v>57</v>
      </c>
      <c r="E252" t="s">
        <v>58</v>
      </c>
      <c r="G252" t="s">
        <v>54</v>
      </c>
      <c r="H252" t="s">
        <v>14</v>
      </c>
      <c r="K252" t="str">
        <f>VLOOKUP(B252,'20April'!B:G,6,0)</f>
        <v>Have records but not submitted</v>
      </c>
    </row>
    <row r="253" spans="1:11" x14ac:dyDescent="0.25">
      <c r="A253">
        <v>128</v>
      </c>
      <c r="B253" t="s">
        <v>273</v>
      </c>
      <c r="C253" t="s">
        <v>274</v>
      </c>
      <c r="D253" t="s">
        <v>11</v>
      </c>
      <c r="E253" t="s">
        <v>12</v>
      </c>
      <c r="G253" t="s">
        <v>13</v>
      </c>
      <c r="H253" t="s">
        <v>14</v>
      </c>
      <c r="K253" t="str">
        <f>VLOOKUP(B253,'20April'!B:G,6,0)</f>
        <v>No records</v>
      </c>
    </row>
    <row r="254" spans="1:11" x14ac:dyDescent="0.25">
      <c r="A254">
        <v>129</v>
      </c>
      <c r="B254" t="s">
        <v>275</v>
      </c>
      <c r="C254" s="3" t="s">
        <v>276</v>
      </c>
      <c r="D254" t="s">
        <v>57</v>
      </c>
      <c r="E254" t="s">
        <v>58</v>
      </c>
      <c r="G254" t="s">
        <v>54</v>
      </c>
      <c r="H254" t="s">
        <v>14</v>
      </c>
      <c r="K254" t="str">
        <f>VLOOKUP(B254,'20April'!B:G,6,0)</f>
        <v>Have records but not submitted</v>
      </c>
    </row>
    <row r="255" spans="1:11" x14ac:dyDescent="0.25">
      <c r="A255">
        <v>130</v>
      </c>
      <c r="B255" t="s">
        <v>277</v>
      </c>
      <c r="C255" t="s">
        <v>278</v>
      </c>
      <c r="D255" t="s">
        <v>11</v>
      </c>
      <c r="E255" t="s">
        <v>12</v>
      </c>
      <c r="G255" t="s">
        <v>13</v>
      </c>
      <c r="H255" t="s">
        <v>14</v>
      </c>
      <c r="K255" t="str">
        <f>VLOOKUP(B255,'20April'!B:G,6,0)</f>
        <v>No records</v>
      </c>
    </row>
    <row r="256" spans="1:11" x14ac:dyDescent="0.25">
      <c r="A256">
        <v>131</v>
      </c>
      <c r="B256" t="s">
        <v>279</v>
      </c>
      <c r="C256" t="s">
        <v>280</v>
      </c>
      <c r="D256" t="s">
        <v>17</v>
      </c>
      <c r="E256" t="s">
        <v>18</v>
      </c>
      <c r="G256" t="s">
        <v>19</v>
      </c>
      <c r="H256" t="s">
        <v>14</v>
      </c>
      <c r="I256" s="2">
        <v>45382</v>
      </c>
      <c r="J256" s="2">
        <v>45504</v>
      </c>
      <c r="K256" t="str">
        <f>VLOOKUP(B256,'20April'!B:G,6,0)</f>
        <v>Have records but not submitted</v>
      </c>
    </row>
    <row r="257" spans="1:11" x14ac:dyDescent="0.25">
      <c r="A257">
        <v>132</v>
      </c>
      <c r="B257" t="s">
        <v>281</v>
      </c>
      <c r="C257" t="s">
        <v>282</v>
      </c>
      <c r="D257" t="s">
        <v>11</v>
      </c>
      <c r="E257" t="s">
        <v>12</v>
      </c>
      <c r="G257" t="s">
        <v>13</v>
      </c>
      <c r="H257" t="s">
        <v>14</v>
      </c>
      <c r="K257" t="str">
        <f>VLOOKUP(B257,'20April'!B:G,6,0)</f>
        <v>No records</v>
      </c>
    </row>
    <row r="258" spans="1:11" x14ac:dyDescent="0.25">
      <c r="A258">
        <v>133</v>
      </c>
      <c r="B258" t="s">
        <v>283</v>
      </c>
      <c r="C258" t="s">
        <v>284</v>
      </c>
      <c r="D258" t="s">
        <v>11</v>
      </c>
      <c r="E258" t="s">
        <v>12</v>
      </c>
      <c r="G258" t="s">
        <v>13</v>
      </c>
      <c r="H258" t="s">
        <v>14</v>
      </c>
      <c r="K258" t="str">
        <f>VLOOKUP(B258,'20April'!B:G,6,0)</f>
        <v>No records</v>
      </c>
    </row>
    <row r="259" spans="1:11" x14ac:dyDescent="0.25">
      <c r="A259">
        <v>134</v>
      </c>
      <c r="B259" t="s">
        <v>285</v>
      </c>
      <c r="C259" t="s">
        <v>286</v>
      </c>
      <c r="D259" t="s">
        <v>57</v>
      </c>
      <c r="E259" t="s">
        <v>58</v>
      </c>
      <c r="G259" t="s">
        <v>54</v>
      </c>
      <c r="H259" t="s">
        <v>14</v>
      </c>
      <c r="K259" t="str">
        <f>VLOOKUP(B259,'20April'!B:G,6,0)</f>
        <v>Have records and have submitted</v>
      </c>
    </row>
  </sheetData>
  <autoFilter ref="A1:K259" xr:uid="{5A17F8F9-4E09-4E69-855C-A52B2231C2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2933-4D56-4F2B-9560-4B50258ABF67}">
  <dimension ref="A1:I162"/>
  <sheetViews>
    <sheetView topLeftCell="A40" workbookViewId="0">
      <selection activeCell="E162" sqref="E162"/>
    </sheetView>
  </sheetViews>
  <sheetFormatPr defaultRowHeight="15" x14ac:dyDescent="0.25"/>
  <cols>
    <col min="1" max="1" width="48.140625" customWidth="1"/>
    <col min="2" max="2" width="21.7109375" customWidth="1"/>
    <col min="3" max="3" width="27.5703125" customWidth="1"/>
    <col min="4" max="4" width="21.85546875" bestFit="1" customWidth="1"/>
    <col min="5" max="5" width="13" customWidth="1"/>
    <col min="7" max="7" width="31.140625" bestFit="1" customWidth="1"/>
    <col min="8" max="8" width="10.7109375" style="2" bestFit="1" customWidth="1"/>
    <col min="9" max="9" width="12.5703125" bestFit="1" customWidth="1"/>
  </cols>
  <sheetData>
    <row r="1" spans="1:9" x14ac:dyDescent="0.25">
      <c r="A1" t="s">
        <v>1</v>
      </c>
      <c r="B1" t="s">
        <v>6</v>
      </c>
      <c r="C1" t="s">
        <v>614</v>
      </c>
      <c r="D1" t="s">
        <v>628</v>
      </c>
      <c r="E1" t="s">
        <v>639</v>
      </c>
      <c r="F1" t="s">
        <v>634</v>
      </c>
      <c r="G1" t="s">
        <v>5</v>
      </c>
      <c r="H1" s="2" t="s">
        <v>635</v>
      </c>
      <c r="I1" t="s">
        <v>636</v>
      </c>
    </row>
    <row r="2" spans="1:9" x14ac:dyDescent="0.25">
      <c r="A2" t="s">
        <v>10</v>
      </c>
      <c r="B2" t="s">
        <v>14</v>
      </c>
      <c r="C2" t="s">
        <v>626</v>
      </c>
      <c r="D2" t="s">
        <v>643</v>
      </c>
      <c r="E2">
        <v>1</v>
      </c>
      <c r="F2">
        <f>COUNTIFS('1.master_list_7May'!C:C,A2)</f>
        <v>1</v>
      </c>
      <c r="G2" t="str">
        <f>VLOOKUP($A2,'1.master_list_7May'!C:G,5,0)</f>
        <v>No records</v>
      </c>
      <c r="I2" t="str">
        <f>IF(H2=0,"No month", MONTH(H2))</f>
        <v>No month</v>
      </c>
    </row>
    <row r="3" spans="1:9" x14ac:dyDescent="0.25">
      <c r="A3" t="s">
        <v>16</v>
      </c>
      <c r="B3" t="s">
        <v>14</v>
      </c>
      <c r="C3" t="s">
        <v>652</v>
      </c>
      <c r="D3" t="s">
        <v>633</v>
      </c>
      <c r="E3">
        <v>1</v>
      </c>
      <c r="F3">
        <f>COUNTIFS('1.master_list_7May'!C:C,A3)</f>
        <v>1</v>
      </c>
      <c r="G3" t="str">
        <f>VLOOKUP($A3,'1.master_list_7May'!C:G,5,0)</f>
        <v>Have records but not submitted</v>
      </c>
      <c r="H3" s="2">
        <f>VLOOKUP(A3,'1.master_list_7May'!C:J,8,0)</f>
        <v>45504</v>
      </c>
      <c r="I3">
        <f t="shared" ref="I3:I66" si="0">IF(H3=0,"No month", MONTH(H3))</f>
        <v>7</v>
      </c>
    </row>
    <row r="4" spans="1:9" x14ac:dyDescent="0.25">
      <c r="A4" s="3" t="s">
        <v>21</v>
      </c>
      <c r="B4" t="s">
        <v>14</v>
      </c>
      <c r="C4" t="s">
        <v>626</v>
      </c>
      <c r="D4" t="s">
        <v>643</v>
      </c>
      <c r="E4">
        <v>1</v>
      </c>
      <c r="F4">
        <f>COUNTIFS('1.master_list_7May'!C:C,A4)</f>
        <v>1</v>
      </c>
      <c r="G4" t="str">
        <f>VLOOKUP($A4,'1.master_list_7May'!C:G,5,0)</f>
        <v>Have records and have submitted</v>
      </c>
      <c r="I4" t="str">
        <f t="shared" si="0"/>
        <v>No month</v>
      </c>
    </row>
    <row r="5" spans="1:9" x14ac:dyDescent="0.25">
      <c r="A5" t="s">
        <v>25</v>
      </c>
      <c r="B5" t="s">
        <v>14</v>
      </c>
      <c r="C5" t="s">
        <v>730</v>
      </c>
      <c r="D5" t="s">
        <v>633</v>
      </c>
      <c r="E5">
        <v>1</v>
      </c>
      <c r="F5">
        <f>COUNTIFS('1.master_list_7May'!C:C,A5)</f>
        <v>1</v>
      </c>
      <c r="G5" t="str">
        <f>VLOOKUP($A5,'1.master_list_7May'!C:G,5,0)</f>
        <v>No records</v>
      </c>
      <c r="I5" t="str">
        <f t="shared" si="0"/>
        <v>No month</v>
      </c>
    </row>
    <row r="6" spans="1:9" x14ac:dyDescent="0.25">
      <c r="A6" t="s">
        <v>288</v>
      </c>
      <c r="B6" t="s">
        <v>290</v>
      </c>
      <c r="C6" t="s">
        <v>731</v>
      </c>
      <c r="D6" t="s">
        <v>643</v>
      </c>
      <c r="E6">
        <v>1</v>
      </c>
      <c r="F6">
        <f>COUNTIFS('1.master_list_7May'!C:C,A6)</f>
        <v>7</v>
      </c>
      <c r="G6" t="str">
        <f>VLOOKUP($A6,'1.master_list_7May'!C:G,5,0)</f>
        <v>Have records but not submitted</v>
      </c>
      <c r="H6" s="2">
        <f>VLOOKUP(A6,'1.master_list_7May'!C:J,8,0)</f>
        <v>45504</v>
      </c>
      <c r="I6">
        <f t="shared" si="0"/>
        <v>7</v>
      </c>
    </row>
    <row r="7" spans="1:9" x14ac:dyDescent="0.25">
      <c r="A7" t="s">
        <v>304</v>
      </c>
      <c r="B7" t="s">
        <v>290</v>
      </c>
      <c r="C7" t="s">
        <v>731</v>
      </c>
      <c r="D7" t="s">
        <v>643</v>
      </c>
      <c r="E7">
        <v>1</v>
      </c>
      <c r="F7">
        <f>COUNTIFS('1.master_list_7May'!C:C,A7)</f>
        <v>1</v>
      </c>
      <c r="G7" t="str">
        <f>VLOOKUP($A7,'1.master_list_7May'!C:G,5,0)</f>
        <v>Have records but not submitted</v>
      </c>
      <c r="H7" s="2">
        <f>VLOOKUP(A7,'1.master_list_7May'!C:J,8,0)</f>
        <v>45504</v>
      </c>
      <c r="I7">
        <f t="shared" si="0"/>
        <v>7</v>
      </c>
    </row>
    <row r="8" spans="1:9" x14ac:dyDescent="0.25">
      <c r="A8" t="s">
        <v>307</v>
      </c>
      <c r="B8" t="s">
        <v>290</v>
      </c>
      <c r="C8" t="s">
        <v>644</v>
      </c>
      <c r="D8" t="s">
        <v>643</v>
      </c>
      <c r="E8">
        <v>1</v>
      </c>
      <c r="F8">
        <f>COUNTIFS('1.master_list_7May'!C:C,A8)</f>
        <v>5</v>
      </c>
      <c r="G8" t="str">
        <f>VLOOKUP($A8,'1.master_list_7May'!C:G,5,0)</f>
        <v>Have records but not submitted</v>
      </c>
      <c r="H8" s="2">
        <f>VLOOKUP(A8,'1.master_list_7May'!C:J,8,0)</f>
        <v>45504</v>
      </c>
      <c r="I8">
        <f t="shared" si="0"/>
        <v>7</v>
      </c>
    </row>
    <row r="9" spans="1:9" x14ac:dyDescent="0.25">
      <c r="A9" t="s">
        <v>27</v>
      </c>
      <c r="B9" t="s">
        <v>14</v>
      </c>
      <c r="C9" t="s">
        <v>731</v>
      </c>
      <c r="D9" t="s">
        <v>643</v>
      </c>
      <c r="E9">
        <v>1</v>
      </c>
      <c r="F9">
        <f>COUNTIFS('1.master_list_7May'!C:C,A9)</f>
        <v>1</v>
      </c>
      <c r="G9" t="str">
        <f>VLOOKUP($A9,'1.master_list_7May'!C:G,5,0)</f>
        <v>Have records but not submitted</v>
      </c>
      <c r="H9" s="2">
        <f>VLOOKUP(A9,'1.master_list_7May'!C:J,8,0)</f>
        <v>45504</v>
      </c>
      <c r="I9">
        <f t="shared" si="0"/>
        <v>7</v>
      </c>
    </row>
    <row r="10" spans="1:9" x14ac:dyDescent="0.25">
      <c r="A10" t="s">
        <v>29</v>
      </c>
      <c r="B10" t="s">
        <v>14</v>
      </c>
      <c r="C10" t="s">
        <v>689</v>
      </c>
      <c r="D10" t="s">
        <v>627</v>
      </c>
      <c r="E10">
        <v>1</v>
      </c>
      <c r="F10">
        <f>COUNTIFS('1.master_list_7May'!C:C,A10)</f>
        <v>1</v>
      </c>
      <c r="G10" t="str">
        <f>VLOOKUP($A10,'1.master_list_7May'!C:G,5,0)</f>
        <v>Have records but not submitted</v>
      </c>
      <c r="H10" s="2">
        <f>VLOOKUP(A10,'1.master_list_7May'!C:J,8,0)</f>
        <v>45504</v>
      </c>
      <c r="I10">
        <f t="shared" si="0"/>
        <v>7</v>
      </c>
    </row>
    <row r="11" spans="1:9" x14ac:dyDescent="0.25">
      <c r="A11" t="s">
        <v>31</v>
      </c>
      <c r="B11" t="s">
        <v>14</v>
      </c>
      <c r="C11" t="s">
        <v>689</v>
      </c>
      <c r="D11" t="s">
        <v>627</v>
      </c>
      <c r="E11">
        <v>1</v>
      </c>
      <c r="F11">
        <f>COUNTIFS('1.master_list_7May'!C:C,A11)</f>
        <v>1</v>
      </c>
      <c r="G11" t="str">
        <f>VLOOKUP($A11,'1.master_list_7May'!C:G,5,0)</f>
        <v>Have records but not submitted</v>
      </c>
      <c r="H11" s="2">
        <f>VLOOKUP(A11,'1.master_list_7May'!C:J,8,0)</f>
        <v>45504</v>
      </c>
      <c r="I11">
        <f t="shared" si="0"/>
        <v>7</v>
      </c>
    </row>
    <row r="12" spans="1:9" x14ac:dyDescent="0.25">
      <c r="A12" t="s">
        <v>33</v>
      </c>
      <c r="B12" t="s">
        <v>14</v>
      </c>
      <c r="C12" t="s">
        <v>644</v>
      </c>
      <c r="D12" t="s">
        <v>643</v>
      </c>
      <c r="E12">
        <v>1</v>
      </c>
      <c r="F12">
        <f>COUNTIFS('1.master_list_7May'!C:C,A12)</f>
        <v>1</v>
      </c>
      <c r="G12" t="str">
        <f>VLOOKUP($A12,'1.master_list_7May'!C:G,5,0)</f>
        <v>No records</v>
      </c>
      <c r="I12" t="str">
        <f t="shared" si="0"/>
        <v>No month</v>
      </c>
    </row>
    <row r="13" spans="1:9" x14ac:dyDescent="0.25">
      <c r="A13" t="s">
        <v>318</v>
      </c>
      <c r="B13" t="s">
        <v>290</v>
      </c>
      <c r="C13" t="s">
        <v>731</v>
      </c>
      <c r="D13" t="s">
        <v>643</v>
      </c>
      <c r="E13">
        <v>1</v>
      </c>
      <c r="F13">
        <f>COUNTIFS('1.master_list_7May'!C:C,A13)</f>
        <v>2</v>
      </c>
      <c r="G13" t="str">
        <f>VLOOKUP($A13,'1.master_list_7May'!C:G,5,0)</f>
        <v>Have records but not submitted</v>
      </c>
      <c r="H13" s="2">
        <f>VLOOKUP(A13,'1.master_list_7May'!C:J,8,0)</f>
        <v>45504</v>
      </c>
      <c r="I13">
        <f t="shared" si="0"/>
        <v>7</v>
      </c>
    </row>
    <row r="14" spans="1:9" x14ac:dyDescent="0.25">
      <c r="A14" t="s">
        <v>35</v>
      </c>
      <c r="B14" t="s">
        <v>14</v>
      </c>
      <c r="C14" t="s">
        <v>731</v>
      </c>
      <c r="D14" t="s">
        <v>643</v>
      </c>
      <c r="E14">
        <v>1</v>
      </c>
      <c r="F14">
        <f>COUNTIFS('1.master_list_7May'!C:C,A14)</f>
        <v>1</v>
      </c>
      <c r="G14" t="str">
        <f>VLOOKUP($A14,'1.master_list_7May'!C:G,5,0)</f>
        <v>Have records but not submitted</v>
      </c>
      <c r="H14" s="2">
        <f>VLOOKUP(A14,'1.master_list_7May'!C:J,8,0)</f>
        <v>45504</v>
      </c>
      <c r="I14">
        <f t="shared" si="0"/>
        <v>7</v>
      </c>
    </row>
    <row r="15" spans="1:9" x14ac:dyDescent="0.25">
      <c r="A15" t="s">
        <v>37</v>
      </c>
      <c r="B15" t="s">
        <v>14</v>
      </c>
      <c r="C15" t="s">
        <v>626</v>
      </c>
      <c r="D15" t="s">
        <v>643</v>
      </c>
      <c r="E15">
        <v>1</v>
      </c>
      <c r="F15">
        <f>COUNTIFS('1.master_list_7May'!C:C,A15)</f>
        <v>1</v>
      </c>
      <c r="G15" t="str">
        <f>VLOOKUP($A15,'1.master_list_7May'!C:G,5,0)</f>
        <v>No records</v>
      </c>
      <c r="I15" t="str">
        <f t="shared" si="0"/>
        <v>No month</v>
      </c>
    </row>
    <row r="16" spans="1:9" x14ac:dyDescent="0.25">
      <c r="A16" t="s">
        <v>39</v>
      </c>
      <c r="B16" t="s">
        <v>14</v>
      </c>
      <c r="C16" t="s">
        <v>651</v>
      </c>
      <c r="D16" t="s">
        <v>633</v>
      </c>
      <c r="E16">
        <v>1</v>
      </c>
      <c r="F16">
        <f>COUNTIFS('1.master_list_7May'!C:C,A16)</f>
        <v>1</v>
      </c>
      <c r="G16" t="str">
        <f>VLOOKUP($A16,'1.master_list_7May'!C:G,5,0)</f>
        <v>No records</v>
      </c>
      <c r="I16" t="str">
        <f t="shared" si="0"/>
        <v>No month</v>
      </c>
    </row>
    <row r="17" spans="1:9" x14ac:dyDescent="0.25">
      <c r="A17" t="s">
        <v>41</v>
      </c>
      <c r="B17" t="s">
        <v>14</v>
      </c>
      <c r="C17" t="s">
        <v>730</v>
      </c>
      <c r="D17" t="s">
        <v>633</v>
      </c>
      <c r="E17">
        <v>1</v>
      </c>
      <c r="F17">
        <f>COUNTIFS('1.master_list_7May'!C:C,A17)</f>
        <v>1</v>
      </c>
      <c r="G17" t="str">
        <f>VLOOKUP($A17,'1.master_list_7May'!C:G,5,0)</f>
        <v>No records</v>
      </c>
      <c r="I17" t="str">
        <f t="shared" si="0"/>
        <v>No month</v>
      </c>
    </row>
    <row r="18" spans="1:9" x14ac:dyDescent="0.25">
      <c r="A18" t="s">
        <v>43</v>
      </c>
      <c r="B18" t="s">
        <v>14</v>
      </c>
      <c r="C18" t="s">
        <v>731</v>
      </c>
      <c r="D18" t="s">
        <v>643</v>
      </c>
      <c r="E18">
        <v>1</v>
      </c>
      <c r="F18">
        <f>COUNTIFS('1.master_list_7May'!C:C,A18)</f>
        <v>1</v>
      </c>
      <c r="G18" t="str">
        <f>VLOOKUP($A18,'1.master_list_7May'!C:G,5,0)</f>
        <v>No records</v>
      </c>
      <c r="I18" t="str">
        <f t="shared" si="0"/>
        <v>No month</v>
      </c>
    </row>
    <row r="19" spans="1:9" x14ac:dyDescent="0.25">
      <c r="A19" s="3" t="s">
        <v>45</v>
      </c>
      <c r="B19" t="s">
        <v>14</v>
      </c>
      <c r="C19" t="s">
        <v>646</v>
      </c>
      <c r="D19" t="s">
        <v>643</v>
      </c>
      <c r="E19">
        <v>1</v>
      </c>
      <c r="F19">
        <f>COUNTIFS('1.master_list_7May'!C:C,A19)</f>
        <v>1</v>
      </c>
      <c r="G19" t="str">
        <f>VLOOKUP($A19,'1.master_list_7May'!C:G,5,0)</f>
        <v>Have records and have submitted</v>
      </c>
      <c r="I19" t="str">
        <f t="shared" si="0"/>
        <v>No month</v>
      </c>
    </row>
    <row r="20" spans="1:9" x14ac:dyDescent="0.25">
      <c r="A20" t="s">
        <v>47</v>
      </c>
      <c r="B20" t="s">
        <v>14</v>
      </c>
      <c r="C20" t="s">
        <v>646</v>
      </c>
      <c r="D20" t="s">
        <v>643</v>
      </c>
      <c r="E20">
        <v>1</v>
      </c>
      <c r="F20">
        <f>COUNTIFS('1.master_list_7May'!C:C,A20)</f>
        <v>1</v>
      </c>
      <c r="G20" t="str">
        <f>VLOOKUP($A20,'1.master_list_7May'!C:G,5,0)</f>
        <v>Have records but not submitted</v>
      </c>
      <c r="H20" s="2">
        <f>VLOOKUP(A20,'1.master_list_7May'!C:J,8,0)</f>
        <v>45412</v>
      </c>
      <c r="I20">
        <f t="shared" si="0"/>
        <v>4</v>
      </c>
    </row>
    <row r="21" spans="1:9" x14ac:dyDescent="0.25">
      <c r="A21" t="s">
        <v>49</v>
      </c>
      <c r="B21" t="s">
        <v>14</v>
      </c>
      <c r="C21" t="s">
        <v>731</v>
      </c>
      <c r="D21" t="s">
        <v>643</v>
      </c>
      <c r="E21">
        <v>1</v>
      </c>
      <c r="F21">
        <f>COUNTIFS('1.master_list_7May'!C:C,A21)</f>
        <v>1</v>
      </c>
      <c r="G21" t="str">
        <f>VLOOKUP($A21,'1.master_list_7May'!C:G,5,0)</f>
        <v>No records</v>
      </c>
      <c r="I21" t="str">
        <f t="shared" si="0"/>
        <v>No month</v>
      </c>
    </row>
    <row r="22" spans="1:9" x14ac:dyDescent="0.25">
      <c r="A22" t="s">
        <v>323</v>
      </c>
      <c r="B22" t="s">
        <v>290</v>
      </c>
      <c r="C22" t="s">
        <v>731</v>
      </c>
      <c r="D22" t="s">
        <v>643</v>
      </c>
      <c r="E22">
        <v>1</v>
      </c>
      <c r="F22">
        <f>COUNTIFS('1.master_list_7May'!C:C,A22)</f>
        <v>3</v>
      </c>
      <c r="G22" t="str">
        <f>VLOOKUP($A22,'1.master_list_7May'!C:G,5,0)</f>
        <v>Have records but not submitted</v>
      </c>
      <c r="H22" s="2">
        <f>VLOOKUP(A22,'1.master_list_7May'!C:J,8,0)</f>
        <v>45504</v>
      </c>
      <c r="I22">
        <f t="shared" si="0"/>
        <v>7</v>
      </c>
    </row>
    <row r="23" spans="1:9" x14ac:dyDescent="0.25">
      <c r="A23" t="s">
        <v>330</v>
      </c>
      <c r="B23" t="s">
        <v>290</v>
      </c>
      <c r="C23" t="s">
        <v>731</v>
      </c>
      <c r="D23" t="s">
        <v>643</v>
      </c>
      <c r="E23">
        <v>1</v>
      </c>
      <c r="F23">
        <f>COUNTIFS('1.master_list_7May'!C:C,A23)</f>
        <v>6</v>
      </c>
      <c r="G23" t="str">
        <f>VLOOKUP($A23,'1.master_list_7May'!C:G,5,0)</f>
        <v>Have records but not submitted</v>
      </c>
      <c r="H23" s="2">
        <f>VLOOKUP(A23,'1.master_list_7May'!C:J,8,0)</f>
        <v>45504</v>
      </c>
      <c r="I23">
        <f t="shared" si="0"/>
        <v>7</v>
      </c>
    </row>
    <row r="24" spans="1:9" x14ac:dyDescent="0.25">
      <c r="A24" t="s">
        <v>51</v>
      </c>
      <c r="B24" t="s">
        <v>14</v>
      </c>
      <c r="C24" t="s">
        <v>624</v>
      </c>
      <c r="D24" t="s">
        <v>629</v>
      </c>
      <c r="E24">
        <v>1</v>
      </c>
      <c r="F24">
        <f>COUNTIFS('1.master_list_7May'!C:C,A24)</f>
        <v>1</v>
      </c>
      <c r="G24" t="str">
        <f>VLOOKUP($A24,'1.master_list_7May'!C:G,5,0)</f>
        <v>Have records and have submitted</v>
      </c>
      <c r="I24" t="str">
        <f t="shared" si="0"/>
        <v>No month</v>
      </c>
    </row>
    <row r="25" spans="1:9" x14ac:dyDescent="0.25">
      <c r="A25" t="s">
        <v>343</v>
      </c>
      <c r="B25" t="s">
        <v>290</v>
      </c>
      <c r="C25" t="s">
        <v>731</v>
      </c>
      <c r="D25" t="s">
        <v>643</v>
      </c>
      <c r="E25">
        <v>1</v>
      </c>
      <c r="F25">
        <f>COUNTIFS('1.master_list_7May'!C:C,A25)</f>
        <v>4</v>
      </c>
      <c r="G25" t="str">
        <f>VLOOKUP($A25,'1.master_list_7May'!C:G,5,0)</f>
        <v>Have records but not submitted</v>
      </c>
      <c r="H25" s="2">
        <f>VLOOKUP(A25,'1.master_list_7May'!C:J,8,0)</f>
        <v>45504</v>
      </c>
      <c r="I25">
        <f t="shared" si="0"/>
        <v>7</v>
      </c>
    </row>
    <row r="26" spans="1:9" x14ac:dyDescent="0.25">
      <c r="A26" t="s">
        <v>56</v>
      </c>
      <c r="B26" t="s">
        <v>14</v>
      </c>
      <c r="C26" t="s">
        <v>731</v>
      </c>
      <c r="D26" t="s">
        <v>643</v>
      </c>
      <c r="E26">
        <v>1</v>
      </c>
      <c r="F26">
        <f>COUNTIFS('1.master_list_7May'!C:C,A26)</f>
        <v>1</v>
      </c>
      <c r="G26" t="str">
        <f>VLOOKUP($A26,'1.master_list_7May'!C:G,5,0)</f>
        <v>Have records and have submitted</v>
      </c>
      <c r="I26" t="str">
        <f t="shared" si="0"/>
        <v>No month</v>
      </c>
    </row>
    <row r="27" spans="1:9" x14ac:dyDescent="0.25">
      <c r="A27" t="s">
        <v>352</v>
      </c>
      <c r="B27" t="s">
        <v>290</v>
      </c>
      <c r="C27" t="s">
        <v>731</v>
      </c>
      <c r="D27" t="s">
        <v>643</v>
      </c>
      <c r="E27">
        <v>1</v>
      </c>
      <c r="F27">
        <f>COUNTIFS('1.master_list_7May'!C:C,A27)</f>
        <v>24</v>
      </c>
      <c r="G27" t="str">
        <f>VLOOKUP($A27,'1.master_list_7May'!C:G,5,0)</f>
        <v>Have records but not submitted</v>
      </c>
      <c r="H27" s="2">
        <f>VLOOKUP(A27,'1.master_list_7May'!C:J,8,0)</f>
        <v>45504</v>
      </c>
      <c r="I27">
        <f t="shared" si="0"/>
        <v>7</v>
      </c>
    </row>
    <row r="28" spans="1:9" x14ac:dyDescent="0.25">
      <c r="A28" t="s">
        <v>60</v>
      </c>
      <c r="B28" t="s">
        <v>14</v>
      </c>
      <c r="C28" t="s">
        <v>730</v>
      </c>
      <c r="D28" t="s">
        <v>629</v>
      </c>
      <c r="E28">
        <v>1</v>
      </c>
      <c r="F28">
        <f>COUNTIFS('1.master_list_7May'!C:C,A28)</f>
        <v>1</v>
      </c>
      <c r="G28" t="str">
        <f>VLOOKUP($A28,'1.master_list_7May'!C:G,5,0)</f>
        <v>Have records and have submitted</v>
      </c>
      <c r="I28" t="str">
        <f t="shared" si="0"/>
        <v>No month</v>
      </c>
    </row>
    <row r="29" spans="1:9" x14ac:dyDescent="0.25">
      <c r="A29" s="3" t="s">
        <v>62</v>
      </c>
      <c r="B29" t="s">
        <v>14</v>
      </c>
      <c r="C29" t="s">
        <v>646</v>
      </c>
      <c r="D29" t="s">
        <v>643</v>
      </c>
      <c r="E29">
        <v>1</v>
      </c>
      <c r="F29">
        <f>COUNTIFS('1.master_list_7May'!C:C,A29)</f>
        <v>1</v>
      </c>
      <c r="G29" t="str">
        <f>VLOOKUP($A29,'1.master_list_7May'!C:G,5,0)</f>
        <v>Have records and have submitted</v>
      </c>
      <c r="I29" t="str">
        <f t="shared" si="0"/>
        <v>No month</v>
      </c>
    </row>
    <row r="30" spans="1:9" x14ac:dyDescent="0.25">
      <c r="A30" s="3" t="s">
        <v>64</v>
      </c>
      <c r="B30" t="s">
        <v>14</v>
      </c>
      <c r="C30" t="s">
        <v>646</v>
      </c>
      <c r="D30" t="s">
        <v>643</v>
      </c>
      <c r="E30">
        <v>1</v>
      </c>
      <c r="F30">
        <f>COUNTIFS('1.master_list_7May'!C:C,A30)</f>
        <v>1</v>
      </c>
      <c r="G30" t="str">
        <f>VLOOKUP($A30,'1.master_list_7May'!C:G,5,0)</f>
        <v>Have records and have submitted</v>
      </c>
      <c r="I30" t="str">
        <f t="shared" si="0"/>
        <v>No month</v>
      </c>
    </row>
    <row r="31" spans="1:9" x14ac:dyDescent="0.25">
      <c r="A31" t="s">
        <v>66</v>
      </c>
      <c r="B31" t="s">
        <v>14</v>
      </c>
      <c r="C31" s="4" t="s">
        <v>650</v>
      </c>
      <c r="D31" t="s">
        <v>728</v>
      </c>
      <c r="E31">
        <v>1</v>
      </c>
      <c r="F31">
        <f>COUNTIFS('1.master_list_7May'!C:C,A31)</f>
        <v>1</v>
      </c>
      <c r="G31" t="str">
        <f>VLOOKUP($A31,'1.master_list_7May'!C:G,5,0)</f>
        <v>No records</v>
      </c>
      <c r="I31" t="str">
        <f t="shared" si="0"/>
        <v>No month</v>
      </c>
    </row>
    <row r="32" spans="1:9" x14ac:dyDescent="0.25">
      <c r="A32" t="s">
        <v>68</v>
      </c>
      <c r="B32" t="s">
        <v>14</v>
      </c>
      <c r="C32" t="s">
        <v>731</v>
      </c>
      <c r="D32" t="s">
        <v>643</v>
      </c>
      <c r="E32">
        <v>1</v>
      </c>
      <c r="F32">
        <f>COUNTIFS('1.master_list_7May'!C:C,A32)</f>
        <v>1</v>
      </c>
      <c r="G32" t="str">
        <f>VLOOKUP($A32,'1.master_list_7May'!C:G,5,0)</f>
        <v>No records</v>
      </c>
      <c r="I32" t="str">
        <f t="shared" si="0"/>
        <v>No month</v>
      </c>
    </row>
    <row r="33" spans="1:9" x14ac:dyDescent="0.25">
      <c r="A33" t="s">
        <v>70</v>
      </c>
      <c r="B33" t="s">
        <v>14</v>
      </c>
      <c r="C33" t="s">
        <v>730</v>
      </c>
      <c r="D33" t="s">
        <v>633</v>
      </c>
      <c r="E33">
        <v>1</v>
      </c>
      <c r="F33">
        <f>COUNTIFS('1.master_list_7May'!C:C,A33)</f>
        <v>1</v>
      </c>
      <c r="G33" t="str">
        <f>VLOOKUP($A33,'1.master_list_7May'!C:G,5,0)</f>
        <v>No records</v>
      </c>
      <c r="I33" t="str">
        <f t="shared" si="0"/>
        <v>No month</v>
      </c>
    </row>
    <row r="34" spans="1:9" x14ac:dyDescent="0.25">
      <c r="A34" s="3" t="s">
        <v>72</v>
      </c>
      <c r="B34" t="s">
        <v>14</v>
      </c>
      <c r="C34" t="s">
        <v>626</v>
      </c>
      <c r="D34" t="s">
        <v>643</v>
      </c>
      <c r="E34">
        <v>1</v>
      </c>
      <c r="F34">
        <f>COUNTIFS('1.master_list_7May'!C:C,A34)</f>
        <v>1</v>
      </c>
      <c r="G34" t="str">
        <f>VLOOKUP($A34,'1.master_list_7May'!C:G,5,0)</f>
        <v>Have records and have submitted</v>
      </c>
      <c r="I34" t="str">
        <f t="shared" si="0"/>
        <v>No month</v>
      </c>
    </row>
    <row r="35" spans="1:9" x14ac:dyDescent="0.25">
      <c r="A35" s="3" t="s">
        <v>74</v>
      </c>
      <c r="B35" t="s">
        <v>14</v>
      </c>
      <c r="C35" t="s">
        <v>646</v>
      </c>
      <c r="D35" t="s">
        <v>643</v>
      </c>
      <c r="E35">
        <v>1</v>
      </c>
      <c r="F35">
        <f>COUNTIFS('1.master_list_7May'!C:C,A35)</f>
        <v>1</v>
      </c>
      <c r="G35" t="str">
        <f>VLOOKUP($A35,'1.master_list_7May'!C:G,5,0)</f>
        <v>Have records and have submitted</v>
      </c>
      <c r="I35" t="str">
        <f t="shared" si="0"/>
        <v>No month</v>
      </c>
    </row>
    <row r="36" spans="1:9" x14ac:dyDescent="0.25">
      <c r="A36" t="s">
        <v>76</v>
      </c>
      <c r="B36" t="s">
        <v>14</v>
      </c>
      <c r="C36" t="s">
        <v>644</v>
      </c>
      <c r="D36" t="s">
        <v>643</v>
      </c>
      <c r="E36">
        <v>1</v>
      </c>
      <c r="F36">
        <f>COUNTIFS('1.master_list_7May'!C:C,A36)</f>
        <v>1</v>
      </c>
      <c r="G36" t="str">
        <f>VLOOKUP($A36,'1.master_list_7May'!C:G,5,0)</f>
        <v>No records</v>
      </c>
      <c r="I36" t="str">
        <f t="shared" si="0"/>
        <v>No month</v>
      </c>
    </row>
    <row r="37" spans="1:9" x14ac:dyDescent="0.25">
      <c r="A37" t="s">
        <v>78</v>
      </c>
      <c r="B37" t="s">
        <v>14</v>
      </c>
      <c r="C37" t="s">
        <v>648</v>
      </c>
      <c r="D37" t="s">
        <v>729</v>
      </c>
      <c r="E37">
        <v>1</v>
      </c>
      <c r="F37">
        <f>COUNTIFS('1.master_list_7May'!C:C,A37)</f>
        <v>1</v>
      </c>
      <c r="G37" t="str">
        <f>VLOOKUP($A37,'1.master_list_7May'!C:G,5,0)</f>
        <v>No records</v>
      </c>
      <c r="I37" t="str">
        <f t="shared" si="0"/>
        <v>No month</v>
      </c>
    </row>
    <row r="38" spans="1:9" x14ac:dyDescent="0.25">
      <c r="A38" t="s">
        <v>80</v>
      </c>
      <c r="B38" t="s">
        <v>14</v>
      </c>
      <c r="C38" t="s">
        <v>625</v>
      </c>
      <c r="D38" t="s">
        <v>625</v>
      </c>
      <c r="E38">
        <v>1</v>
      </c>
      <c r="F38">
        <f>COUNTIFS('1.master_list_7May'!C:C,A38)</f>
        <v>1</v>
      </c>
      <c r="G38" t="str">
        <f>VLOOKUP($A38,'1.master_list_7May'!C:G,5,0)</f>
        <v>No records</v>
      </c>
      <c r="I38" t="str">
        <f t="shared" si="0"/>
        <v>No month</v>
      </c>
    </row>
    <row r="39" spans="1:9" x14ac:dyDescent="0.25">
      <c r="A39" s="3" t="s">
        <v>82</v>
      </c>
      <c r="B39" t="s">
        <v>14</v>
      </c>
      <c r="C39" t="s">
        <v>644</v>
      </c>
      <c r="D39" t="s">
        <v>643</v>
      </c>
      <c r="E39">
        <v>1</v>
      </c>
      <c r="F39">
        <f>COUNTIFS('1.master_list_7May'!C:C,A39)</f>
        <v>1</v>
      </c>
      <c r="G39" t="str">
        <f>VLOOKUP($A39,'1.master_list_7May'!C:G,5,0)</f>
        <v>Have records and have submitted</v>
      </c>
      <c r="I39" t="str">
        <f t="shared" si="0"/>
        <v>No month</v>
      </c>
    </row>
    <row r="40" spans="1:9" x14ac:dyDescent="0.25">
      <c r="A40" t="s">
        <v>84</v>
      </c>
      <c r="B40" t="s">
        <v>14</v>
      </c>
      <c r="C40" t="s">
        <v>648</v>
      </c>
      <c r="D40" t="s">
        <v>729</v>
      </c>
      <c r="E40">
        <v>1</v>
      </c>
      <c r="F40">
        <f>COUNTIFS('1.master_list_7May'!C:C,A40)</f>
        <v>1</v>
      </c>
      <c r="G40" t="str">
        <f>VLOOKUP($A40,'1.master_list_7May'!C:G,5,0)</f>
        <v>No records</v>
      </c>
      <c r="I40" t="str">
        <f t="shared" si="0"/>
        <v>No month</v>
      </c>
    </row>
    <row r="41" spans="1:9" x14ac:dyDescent="0.25">
      <c r="A41" t="s">
        <v>86</v>
      </c>
      <c r="B41" t="s">
        <v>14</v>
      </c>
      <c r="C41" t="s">
        <v>652</v>
      </c>
      <c r="D41" t="s">
        <v>633</v>
      </c>
      <c r="E41">
        <v>1</v>
      </c>
      <c r="F41">
        <f>COUNTIFS('1.master_list_7May'!C:C,A41)</f>
        <v>1</v>
      </c>
      <c r="G41" t="str">
        <f>VLOOKUP($A41,'1.master_list_7May'!C:G,5,0)</f>
        <v>No records</v>
      </c>
      <c r="I41" t="str">
        <f t="shared" si="0"/>
        <v>No month</v>
      </c>
    </row>
    <row r="42" spans="1:9" x14ac:dyDescent="0.25">
      <c r="A42" t="s">
        <v>88</v>
      </c>
      <c r="B42" t="s">
        <v>14</v>
      </c>
      <c r="C42" t="s">
        <v>654</v>
      </c>
      <c r="D42" t="s">
        <v>633</v>
      </c>
      <c r="E42">
        <v>1</v>
      </c>
      <c r="F42">
        <f>COUNTIFS('1.master_list_7May'!C:C,A42)</f>
        <v>1</v>
      </c>
      <c r="G42" t="str">
        <f>VLOOKUP($A42,'1.master_list_7May'!C:G,5,0)</f>
        <v>Have records but not submitted</v>
      </c>
      <c r="H42" s="2">
        <f>VLOOKUP(A42,'1.master_list_7May'!C:J,8,0)</f>
        <v>45504</v>
      </c>
      <c r="I42">
        <f t="shared" si="0"/>
        <v>7</v>
      </c>
    </row>
    <row r="43" spans="1:9" x14ac:dyDescent="0.25">
      <c r="A43" t="s">
        <v>90</v>
      </c>
      <c r="B43" t="s">
        <v>14</v>
      </c>
      <c r="C43" t="s">
        <v>731</v>
      </c>
      <c r="D43" t="s">
        <v>643</v>
      </c>
      <c r="E43">
        <v>1</v>
      </c>
      <c r="F43">
        <f>COUNTIFS('1.master_list_7May'!C:C,A43)</f>
        <v>1</v>
      </c>
      <c r="G43" t="str">
        <f>VLOOKUP($A43,'1.master_list_7May'!C:G,5,0)</f>
        <v>Have records but not submitted</v>
      </c>
      <c r="H43" s="2">
        <f>VLOOKUP(A43,'1.master_list_7May'!C:J,8,0)</f>
        <v>45412</v>
      </c>
      <c r="I43">
        <f t="shared" si="0"/>
        <v>4</v>
      </c>
    </row>
    <row r="44" spans="1:9" x14ac:dyDescent="0.25">
      <c r="A44" t="s">
        <v>92</v>
      </c>
      <c r="B44" t="s">
        <v>14</v>
      </c>
      <c r="C44" t="s">
        <v>626</v>
      </c>
      <c r="D44" t="s">
        <v>643</v>
      </c>
      <c r="E44">
        <v>1</v>
      </c>
      <c r="F44">
        <f>COUNTIFS('1.master_list_7May'!C:C,A44)</f>
        <v>1</v>
      </c>
      <c r="G44" t="str">
        <f>VLOOKUP($A44,'1.master_list_7May'!C:G,5,0)</f>
        <v>No records</v>
      </c>
      <c r="I44" t="str">
        <f t="shared" si="0"/>
        <v>No month</v>
      </c>
    </row>
    <row r="45" spans="1:9" x14ac:dyDescent="0.25">
      <c r="A45" t="s">
        <v>401</v>
      </c>
      <c r="B45" t="s">
        <v>290</v>
      </c>
      <c r="C45" t="s">
        <v>731</v>
      </c>
      <c r="D45" t="s">
        <v>643</v>
      </c>
      <c r="E45">
        <v>1</v>
      </c>
      <c r="F45">
        <f>COUNTIFS('1.master_list_7May'!C:C,A45)</f>
        <v>2</v>
      </c>
      <c r="G45" t="str">
        <f>VLOOKUP($A45,'1.master_list_7May'!C:G,5,0)</f>
        <v>Have records but not submitted</v>
      </c>
      <c r="H45" s="2">
        <f>VLOOKUP(A45,'1.master_list_7May'!C:J,8,0)</f>
        <v>45504</v>
      </c>
      <c r="I45">
        <f t="shared" si="0"/>
        <v>7</v>
      </c>
    </row>
    <row r="46" spans="1:9" x14ac:dyDescent="0.25">
      <c r="A46" t="s">
        <v>94</v>
      </c>
      <c r="B46" t="s">
        <v>14</v>
      </c>
      <c r="C46" t="s">
        <v>652</v>
      </c>
      <c r="D46" t="s">
        <v>633</v>
      </c>
      <c r="E46">
        <v>1</v>
      </c>
      <c r="F46">
        <f>COUNTIFS('1.master_list_7May'!C:C,A46)</f>
        <v>1</v>
      </c>
      <c r="G46" t="str">
        <f>VLOOKUP($A46,'1.master_list_7May'!C:G,5,0)</f>
        <v>Have records but not submitted</v>
      </c>
      <c r="H46" s="2">
        <f>VLOOKUP(A46,'1.master_list_7May'!C:J,8,0)</f>
        <v>45504</v>
      </c>
      <c r="I46">
        <f t="shared" si="0"/>
        <v>7</v>
      </c>
    </row>
    <row r="47" spans="1:9" x14ac:dyDescent="0.25">
      <c r="A47" t="s">
        <v>406</v>
      </c>
      <c r="B47" t="s">
        <v>290</v>
      </c>
      <c r="C47" t="s">
        <v>731</v>
      </c>
      <c r="D47" t="s">
        <v>643</v>
      </c>
      <c r="E47">
        <v>1</v>
      </c>
      <c r="F47">
        <f>COUNTIFS('1.master_list_7May'!C:C,A47)</f>
        <v>7</v>
      </c>
      <c r="G47" t="str">
        <f>VLOOKUP($A47,'1.master_list_7May'!C:G,5,0)</f>
        <v>Have records but not submitted</v>
      </c>
      <c r="H47" s="2">
        <f>VLOOKUP(A47,'1.master_list_7May'!C:J,8,0)</f>
        <v>45504</v>
      </c>
      <c r="I47">
        <f t="shared" si="0"/>
        <v>7</v>
      </c>
    </row>
    <row r="48" spans="1:9" x14ac:dyDescent="0.25">
      <c r="A48" t="s">
        <v>96</v>
      </c>
      <c r="B48" t="s">
        <v>14</v>
      </c>
      <c r="C48" t="s">
        <v>691</v>
      </c>
      <c r="D48" t="s">
        <v>627</v>
      </c>
      <c r="E48">
        <v>1</v>
      </c>
      <c r="F48">
        <f>COUNTIFS('1.master_list_7May'!C:C,A48)</f>
        <v>1</v>
      </c>
      <c r="G48" t="str">
        <f>VLOOKUP($A48,'1.master_list_7May'!C:G,5,0)</f>
        <v>No records</v>
      </c>
      <c r="I48" t="str">
        <f t="shared" si="0"/>
        <v>No month</v>
      </c>
    </row>
    <row r="49" spans="1:9" x14ac:dyDescent="0.25">
      <c r="A49" t="s">
        <v>98</v>
      </c>
      <c r="B49" t="s">
        <v>14</v>
      </c>
      <c r="C49" t="s">
        <v>691</v>
      </c>
      <c r="D49" t="s">
        <v>627</v>
      </c>
      <c r="E49">
        <v>1</v>
      </c>
      <c r="F49">
        <f>COUNTIFS('1.master_list_7May'!C:C,A49)</f>
        <v>1</v>
      </c>
      <c r="G49" t="str">
        <f>VLOOKUP($A49,'1.master_list_7May'!C:G,5,0)</f>
        <v>No records</v>
      </c>
      <c r="I49" t="str">
        <f t="shared" si="0"/>
        <v>No month</v>
      </c>
    </row>
    <row r="50" spans="1:9" x14ac:dyDescent="0.25">
      <c r="A50" t="s">
        <v>100</v>
      </c>
      <c r="B50" t="s">
        <v>14</v>
      </c>
      <c r="C50" t="s">
        <v>626</v>
      </c>
      <c r="D50" t="s">
        <v>643</v>
      </c>
      <c r="E50">
        <v>1</v>
      </c>
      <c r="F50">
        <f>COUNTIFS('1.master_list_7May'!C:C,A50)</f>
        <v>1</v>
      </c>
      <c r="G50" t="str">
        <f>VLOOKUP($A50,'1.master_list_7May'!C:G,5,0)</f>
        <v>Have records but not submitted</v>
      </c>
      <c r="H50" s="2">
        <f>VLOOKUP(A50,'1.master_list_7May'!C:J,8,0)</f>
        <v>45504</v>
      </c>
      <c r="I50">
        <f t="shared" si="0"/>
        <v>7</v>
      </c>
    </row>
    <row r="51" spans="1:9" x14ac:dyDescent="0.25">
      <c r="A51" t="s">
        <v>102</v>
      </c>
      <c r="B51" t="s">
        <v>14</v>
      </c>
      <c r="C51" t="s">
        <v>648</v>
      </c>
      <c r="D51" t="s">
        <v>729</v>
      </c>
      <c r="E51">
        <v>1</v>
      </c>
      <c r="F51">
        <f>COUNTIFS('1.master_list_7May'!C:C,A51)</f>
        <v>1</v>
      </c>
      <c r="G51" t="str">
        <f>VLOOKUP($A51,'1.master_list_7May'!C:G,5,0)</f>
        <v>No records</v>
      </c>
      <c r="I51" t="str">
        <f t="shared" si="0"/>
        <v>No month</v>
      </c>
    </row>
    <row r="52" spans="1:9" x14ac:dyDescent="0.25">
      <c r="A52" t="s">
        <v>562</v>
      </c>
      <c r="B52" t="s">
        <v>14</v>
      </c>
      <c r="C52" t="s">
        <v>648</v>
      </c>
      <c r="D52" t="s">
        <v>729</v>
      </c>
      <c r="E52">
        <v>1</v>
      </c>
      <c r="F52">
        <f>COUNTIFS('1.master_list_7May'!C:C,A52)</f>
        <v>1</v>
      </c>
      <c r="G52" t="str">
        <f>VLOOKUP($A52,'1.master_list_7May'!C:G,5,0)</f>
        <v>No records</v>
      </c>
      <c r="I52" t="str">
        <f t="shared" si="0"/>
        <v>No month</v>
      </c>
    </row>
    <row r="53" spans="1:9" x14ac:dyDescent="0.25">
      <c r="A53" t="s">
        <v>104</v>
      </c>
      <c r="B53" t="s">
        <v>14</v>
      </c>
      <c r="C53" t="s">
        <v>654</v>
      </c>
      <c r="D53" t="s">
        <v>633</v>
      </c>
      <c r="E53">
        <v>1</v>
      </c>
      <c r="F53">
        <f>COUNTIFS('1.master_list_7May'!C:C,A53)</f>
        <v>1</v>
      </c>
      <c r="G53" t="str">
        <f>VLOOKUP($A53,'1.master_list_7May'!C:G,5,0)</f>
        <v>No records</v>
      </c>
      <c r="I53" t="str">
        <f t="shared" si="0"/>
        <v>No month</v>
      </c>
    </row>
    <row r="54" spans="1:9" x14ac:dyDescent="0.25">
      <c r="A54" t="s">
        <v>421</v>
      </c>
      <c r="B54" t="s">
        <v>290</v>
      </c>
      <c r="C54" t="s">
        <v>731</v>
      </c>
      <c r="D54" t="s">
        <v>643</v>
      </c>
      <c r="E54">
        <v>1</v>
      </c>
      <c r="F54">
        <f>COUNTIFS('1.master_list_7May'!C:C,A54)</f>
        <v>22</v>
      </c>
      <c r="G54" t="str">
        <f>VLOOKUP($A54,'1.master_list_7May'!C:G,5,0)</f>
        <v>Have records but not submitted</v>
      </c>
      <c r="H54" s="2">
        <f>VLOOKUP(A54,'1.master_list_7May'!C:J,8,0)</f>
        <v>45504</v>
      </c>
      <c r="I54">
        <f t="shared" si="0"/>
        <v>7</v>
      </c>
    </row>
    <row r="55" spans="1:9" x14ac:dyDescent="0.25">
      <c r="A55" t="s">
        <v>466</v>
      </c>
      <c r="B55" t="s">
        <v>290</v>
      </c>
      <c r="C55" t="s">
        <v>731</v>
      </c>
      <c r="D55" t="s">
        <v>643</v>
      </c>
      <c r="E55">
        <v>1</v>
      </c>
      <c r="F55">
        <f>COUNTIFS('1.master_list_7May'!C:C,A55)</f>
        <v>2</v>
      </c>
      <c r="G55" t="str">
        <f>VLOOKUP($A55,'1.master_list_7May'!C:G,5,0)</f>
        <v>Have records but not submitted</v>
      </c>
      <c r="H55" s="2">
        <f>VLOOKUP(A55,'1.master_list_7May'!C:J,8,0)</f>
        <v>45504</v>
      </c>
      <c r="I55">
        <f t="shared" si="0"/>
        <v>7</v>
      </c>
    </row>
    <row r="56" spans="1:9" x14ac:dyDescent="0.25">
      <c r="A56" t="s">
        <v>106</v>
      </c>
      <c r="B56" t="s">
        <v>14</v>
      </c>
      <c r="C56" t="s">
        <v>625</v>
      </c>
      <c r="D56" t="s">
        <v>625</v>
      </c>
      <c r="E56">
        <v>1</v>
      </c>
      <c r="F56">
        <f>COUNTIFS('1.master_list_7May'!C:C,A56)</f>
        <v>1</v>
      </c>
      <c r="G56" t="str">
        <f>VLOOKUP($A56,'1.master_list_7May'!C:G,5,0)</f>
        <v>No records</v>
      </c>
      <c r="I56" t="str">
        <f t="shared" si="0"/>
        <v>No month</v>
      </c>
    </row>
    <row r="57" spans="1:9" x14ac:dyDescent="0.25">
      <c r="A57" t="s">
        <v>564</v>
      </c>
      <c r="B57" t="s">
        <v>14</v>
      </c>
      <c r="C57" t="s">
        <v>625</v>
      </c>
      <c r="D57" t="s">
        <v>625</v>
      </c>
      <c r="E57">
        <v>1</v>
      </c>
      <c r="F57">
        <f>COUNTIFS('1.master_list_7May'!C:C,A57)</f>
        <v>1</v>
      </c>
      <c r="G57" t="str">
        <f>VLOOKUP($A57,'1.master_list_7May'!C:G,5,0)</f>
        <v>No records</v>
      </c>
      <c r="I57" t="str">
        <f t="shared" si="0"/>
        <v>No month</v>
      </c>
    </row>
    <row r="58" spans="1:9" x14ac:dyDescent="0.25">
      <c r="A58" t="s">
        <v>108</v>
      </c>
      <c r="B58" t="s">
        <v>14</v>
      </c>
      <c r="C58" t="s">
        <v>731</v>
      </c>
      <c r="D58" t="s">
        <v>643</v>
      </c>
      <c r="E58">
        <v>1</v>
      </c>
      <c r="F58">
        <f>COUNTIFS('1.master_list_7May'!C:C,A58)</f>
        <v>1</v>
      </c>
      <c r="G58" t="str">
        <f>VLOOKUP($A58,'1.master_list_7May'!C:G,5,0)</f>
        <v>Have records but not submitted</v>
      </c>
      <c r="H58" s="2">
        <f>VLOOKUP(A58,'1.master_list_7May'!C:J,8,0)</f>
        <v>45504</v>
      </c>
      <c r="I58">
        <f t="shared" si="0"/>
        <v>7</v>
      </c>
    </row>
    <row r="59" spans="1:9" x14ac:dyDescent="0.25">
      <c r="A59" t="s">
        <v>471</v>
      </c>
      <c r="B59" t="s">
        <v>290</v>
      </c>
      <c r="C59" t="s">
        <v>731</v>
      </c>
      <c r="D59" t="s">
        <v>643</v>
      </c>
      <c r="E59">
        <v>1</v>
      </c>
      <c r="F59">
        <f>COUNTIFS('1.master_list_7May'!C:C,A59)</f>
        <v>1</v>
      </c>
      <c r="G59" t="str">
        <f>VLOOKUP($A59,'1.master_list_7May'!C:G,5,0)</f>
        <v>Have records but not submitted</v>
      </c>
      <c r="H59" s="2">
        <f>VLOOKUP(A59,'1.master_list_7May'!C:J,8,0)</f>
        <v>45504</v>
      </c>
      <c r="I59">
        <f t="shared" si="0"/>
        <v>7</v>
      </c>
    </row>
    <row r="60" spans="1:9" x14ac:dyDescent="0.25">
      <c r="A60" t="s">
        <v>110</v>
      </c>
      <c r="B60" t="s">
        <v>14</v>
      </c>
      <c r="C60" t="s">
        <v>652</v>
      </c>
      <c r="D60" t="s">
        <v>633</v>
      </c>
      <c r="E60">
        <v>1</v>
      </c>
      <c r="F60">
        <f>COUNTIFS('1.master_list_7May'!C:C,A60)</f>
        <v>1</v>
      </c>
      <c r="G60" t="str">
        <f>VLOOKUP($A60,'1.master_list_7May'!C:G,5,0)</f>
        <v>Have records but not submitted</v>
      </c>
      <c r="H60" s="2">
        <f>VLOOKUP(A60,'1.master_list_7May'!C:J,8,0)</f>
        <v>45504</v>
      </c>
      <c r="I60">
        <f t="shared" si="0"/>
        <v>7</v>
      </c>
    </row>
    <row r="61" spans="1:9" x14ac:dyDescent="0.25">
      <c r="A61" t="s">
        <v>474</v>
      </c>
      <c r="B61" t="s">
        <v>290</v>
      </c>
      <c r="C61" t="s">
        <v>731</v>
      </c>
      <c r="D61" t="s">
        <v>643</v>
      </c>
      <c r="E61">
        <v>1</v>
      </c>
      <c r="F61">
        <f>COUNTIFS('1.master_list_7May'!C:C,A61)</f>
        <v>2</v>
      </c>
      <c r="G61" t="str">
        <f>VLOOKUP($A61,'1.master_list_7May'!C:G,5,0)</f>
        <v>No records</v>
      </c>
      <c r="I61" t="str">
        <f t="shared" si="0"/>
        <v>No month</v>
      </c>
    </row>
    <row r="62" spans="1:9" x14ac:dyDescent="0.25">
      <c r="A62" t="s">
        <v>112</v>
      </c>
      <c r="B62" t="s">
        <v>14</v>
      </c>
      <c r="C62" t="s">
        <v>644</v>
      </c>
      <c r="D62" t="s">
        <v>643</v>
      </c>
      <c r="E62">
        <v>1</v>
      </c>
      <c r="F62">
        <f>COUNTIFS('1.master_list_7May'!C:C,A62)</f>
        <v>1</v>
      </c>
      <c r="G62" t="str">
        <f>VLOOKUP($A62,'1.master_list_7May'!C:G,5,0)</f>
        <v>No records</v>
      </c>
      <c r="I62" t="str">
        <f t="shared" si="0"/>
        <v>No month</v>
      </c>
    </row>
    <row r="63" spans="1:9" x14ac:dyDescent="0.25">
      <c r="A63" t="s">
        <v>114</v>
      </c>
      <c r="B63" t="s">
        <v>14</v>
      </c>
      <c r="C63" t="s">
        <v>644</v>
      </c>
      <c r="D63" t="s">
        <v>643</v>
      </c>
      <c r="E63">
        <v>1</v>
      </c>
      <c r="F63">
        <f>COUNTIFS('1.master_list_7May'!C:C,A63)</f>
        <v>1</v>
      </c>
      <c r="G63" t="str">
        <f>VLOOKUP($A63,'1.master_list_7May'!C:G,5,0)</f>
        <v>No records</v>
      </c>
      <c r="I63" t="str">
        <f t="shared" si="0"/>
        <v>No month</v>
      </c>
    </row>
    <row r="64" spans="1:9" x14ac:dyDescent="0.25">
      <c r="A64" t="s">
        <v>116</v>
      </c>
      <c r="B64" t="s">
        <v>14</v>
      </c>
      <c r="C64" t="s">
        <v>689</v>
      </c>
      <c r="D64" t="s">
        <v>627</v>
      </c>
      <c r="E64">
        <v>1</v>
      </c>
      <c r="F64">
        <f>COUNTIFS('1.master_list_7May'!C:C,A64)</f>
        <v>1</v>
      </c>
      <c r="G64" t="str">
        <f>VLOOKUP($A64,'1.master_list_7May'!C:G,5,0)</f>
        <v>No records</v>
      </c>
      <c r="I64" t="str">
        <f t="shared" si="0"/>
        <v>No month</v>
      </c>
    </row>
    <row r="65" spans="1:9" x14ac:dyDescent="0.25">
      <c r="A65" t="s">
        <v>118</v>
      </c>
      <c r="B65" t="s">
        <v>14</v>
      </c>
      <c r="C65" t="s">
        <v>626</v>
      </c>
      <c r="D65" t="s">
        <v>643</v>
      </c>
      <c r="E65">
        <v>1</v>
      </c>
      <c r="F65">
        <f>COUNTIFS('1.master_list_7May'!C:C,A65)</f>
        <v>1</v>
      </c>
      <c r="G65" t="str">
        <f>VLOOKUP($A65,'1.master_list_7May'!C:G,5,0)</f>
        <v>No records</v>
      </c>
      <c r="I65" t="str">
        <f t="shared" si="0"/>
        <v>No month</v>
      </c>
    </row>
    <row r="66" spans="1:9" x14ac:dyDescent="0.25">
      <c r="A66" t="s">
        <v>120</v>
      </c>
      <c r="B66" t="s">
        <v>14</v>
      </c>
      <c r="C66" s="4" t="s">
        <v>650</v>
      </c>
      <c r="D66" t="s">
        <v>728</v>
      </c>
      <c r="E66">
        <v>1</v>
      </c>
      <c r="F66">
        <f>COUNTIFS('1.master_list_7May'!C:C,A66)</f>
        <v>1</v>
      </c>
      <c r="G66" t="str">
        <f>VLOOKUP($A66,'1.master_list_7May'!C:G,5,0)</f>
        <v>Have records but not submitted</v>
      </c>
      <c r="H66" s="2">
        <f>VLOOKUP(A66,'1.master_list_7May'!C:J,8,0)</f>
        <v>45504</v>
      </c>
      <c r="I66">
        <f t="shared" si="0"/>
        <v>7</v>
      </c>
    </row>
    <row r="67" spans="1:9" x14ac:dyDescent="0.25">
      <c r="A67" s="3" t="s">
        <v>122</v>
      </c>
      <c r="B67" t="s">
        <v>14</v>
      </c>
      <c r="C67" t="s">
        <v>646</v>
      </c>
      <c r="D67" t="s">
        <v>643</v>
      </c>
      <c r="E67">
        <v>1</v>
      </c>
      <c r="F67">
        <f>COUNTIFS('1.master_list_7May'!C:C,A67)</f>
        <v>1</v>
      </c>
      <c r="G67" t="str">
        <f>VLOOKUP($A67,'1.master_list_7May'!C:G,5,0)</f>
        <v>Have records and have submitted</v>
      </c>
      <c r="I67" t="str">
        <f t="shared" ref="I67:I130" si="1">IF(H67=0,"No month", MONTH(H67))</f>
        <v>No month</v>
      </c>
    </row>
    <row r="68" spans="1:9" x14ac:dyDescent="0.25">
      <c r="A68" s="3" t="s">
        <v>124</v>
      </c>
      <c r="B68" t="s">
        <v>14</v>
      </c>
      <c r="C68" t="s">
        <v>646</v>
      </c>
      <c r="D68" t="s">
        <v>643</v>
      </c>
      <c r="E68">
        <v>1</v>
      </c>
      <c r="F68">
        <f>COUNTIFS('1.master_list_7May'!C:C,A68)</f>
        <v>1</v>
      </c>
      <c r="G68" t="str">
        <f>VLOOKUP($A68,'1.master_list_7May'!C:G,5,0)</f>
        <v>Have records and have submitted</v>
      </c>
      <c r="I68" t="str">
        <f t="shared" si="1"/>
        <v>No month</v>
      </c>
    </row>
    <row r="69" spans="1:9" x14ac:dyDescent="0.25">
      <c r="A69" t="s">
        <v>126</v>
      </c>
      <c r="B69" t="s">
        <v>14</v>
      </c>
      <c r="C69" t="s">
        <v>730</v>
      </c>
      <c r="D69" t="s">
        <v>633</v>
      </c>
      <c r="E69">
        <v>1</v>
      </c>
      <c r="F69">
        <f>COUNTIFS('1.master_list_7May'!C:C,A69)</f>
        <v>1</v>
      </c>
      <c r="G69" t="str">
        <f>VLOOKUP($A69,'1.master_list_7May'!C:G,5,0)</f>
        <v>Have records but not submitted</v>
      </c>
      <c r="H69" s="2">
        <f>VLOOKUP(A69,'1.master_list_7May'!C:J,8,0)</f>
        <v>45504</v>
      </c>
      <c r="I69">
        <f t="shared" si="1"/>
        <v>7</v>
      </c>
    </row>
    <row r="70" spans="1:9" x14ac:dyDescent="0.25">
      <c r="A70" t="s">
        <v>128</v>
      </c>
      <c r="B70" t="s">
        <v>14</v>
      </c>
      <c r="C70" t="s">
        <v>626</v>
      </c>
      <c r="D70" t="s">
        <v>643</v>
      </c>
      <c r="E70">
        <v>1</v>
      </c>
      <c r="F70">
        <f>COUNTIFS('1.master_list_7May'!C:C,A70)</f>
        <v>1</v>
      </c>
      <c r="G70" t="str">
        <f>VLOOKUP($A70,'1.master_list_7May'!C:G,5,0)</f>
        <v>No records</v>
      </c>
      <c r="I70" t="str">
        <f t="shared" si="1"/>
        <v>No month</v>
      </c>
    </row>
    <row r="71" spans="1:9" x14ac:dyDescent="0.25">
      <c r="A71" t="s">
        <v>130</v>
      </c>
      <c r="B71" t="s">
        <v>14</v>
      </c>
      <c r="C71" t="s">
        <v>689</v>
      </c>
      <c r="D71" t="s">
        <v>627</v>
      </c>
      <c r="E71">
        <v>1</v>
      </c>
      <c r="F71">
        <f>COUNTIFS('1.master_list_7May'!C:C,A71)</f>
        <v>1</v>
      </c>
      <c r="G71" t="str">
        <f>VLOOKUP($A71,'1.master_list_7May'!C:G,5,0)</f>
        <v>Have records but not submitted</v>
      </c>
      <c r="H71" s="2">
        <f>VLOOKUP(A71,'1.master_list_7May'!C:J,8,0)</f>
        <v>45504</v>
      </c>
      <c r="I71">
        <f t="shared" si="1"/>
        <v>7</v>
      </c>
    </row>
    <row r="72" spans="1:9" x14ac:dyDescent="0.25">
      <c r="A72" t="s">
        <v>132</v>
      </c>
      <c r="B72" t="s">
        <v>14</v>
      </c>
      <c r="C72" t="s">
        <v>646</v>
      </c>
      <c r="D72" t="s">
        <v>643</v>
      </c>
      <c r="E72">
        <v>1</v>
      </c>
      <c r="F72">
        <f>COUNTIFS('1.master_list_7May'!C:C,A72)</f>
        <v>1</v>
      </c>
      <c r="G72" t="str">
        <f>VLOOKUP($A72,'1.master_list_7May'!C:G,5,0)</f>
        <v>Have records but not submitted</v>
      </c>
      <c r="H72" s="2">
        <f>VLOOKUP(A72,'1.master_list_7May'!C:J,8,0)</f>
        <v>45412</v>
      </c>
      <c r="I72">
        <f t="shared" si="1"/>
        <v>4</v>
      </c>
    </row>
    <row r="73" spans="1:9" x14ac:dyDescent="0.25">
      <c r="A73" t="s">
        <v>134</v>
      </c>
      <c r="B73" t="s">
        <v>14</v>
      </c>
      <c r="C73" t="s">
        <v>731</v>
      </c>
      <c r="D73" t="s">
        <v>643</v>
      </c>
      <c r="E73">
        <v>1</v>
      </c>
      <c r="F73">
        <f>COUNTIFS('1.master_list_7May'!C:C,A73)</f>
        <v>1</v>
      </c>
      <c r="G73" t="str">
        <f>VLOOKUP($A73,'1.master_list_7May'!C:G,5,0)</f>
        <v>Have records but not submitted</v>
      </c>
      <c r="H73" s="2">
        <f>VLOOKUP(A73,'1.master_list_7May'!C:J,8,0)</f>
        <v>45504</v>
      </c>
      <c r="I73">
        <f t="shared" si="1"/>
        <v>7</v>
      </c>
    </row>
    <row r="74" spans="1:9" x14ac:dyDescent="0.25">
      <c r="A74" t="s">
        <v>136</v>
      </c>
      <c r="B74" t="s">
        <v>14</v>
      </c>
      <c r="C74" t="s">
        <v>689</v>
      </c>
      <c r="D74" t="s">
        <v>627</v>
      </c>
      <c r="E74">
        <v>1</v>
      </c>
      <c r="F74">
        <f>COUNTIFS('1.master_list_7May'!C:C,A74)</f>
        <v>1</v>
      </c>
      <c r="G74" t="str">
        <f>VLOOKUP($A74,'1.master_list_7May'!C:G,5,0)</f>
        <v>Have records but not submitted</v>
      </c>
      <c r="H74" s="2">
        <f>VLOOKUP(A74,'1.master_list_7May'!C:J,8,0)</f>
        <v>45504</v>
      </c>
      <c r="I74">
        <f t="shared" si="1"/>
        <v>7</v>
      </c>
    </row>
    <row r="75" spans="1:9" x14ac:dyDescent="0.25">
      <c r="A75" t="s">
        <v>479</v>
      </c>
      <c r="B75" t="s">
        <v>290</v>
      </c>
      <c r="C75" t="s">
        <v>731</v>
      </c>
      <c r="D75" t="s">
        <v>643</v>
      </c>
      <c r="E75">
        <v>1</v>
      </c>
      <c r="F75">
        <f>COUNTIFS('1.master_list_7May'!C:C,A75)</f>
        <v>1</v>
      </c>
      <c r="G75" t="str">
        <f>VLOOKUP($A75,'1.master_list_7May'!C:G,5,0)</f>
        <v>Have records but not submitted</v>
      </c>
      <c r="H75" s="2">
        <f>VLOOKUP(A75,'1.master_list_7May'!C:J,8,0)</f>
        <v>45504</v>
      </c>
      <c r="I75">
        <f t="shared" si="1"/>
        <v>7</v>
      </c>
    </row>
    <row r="76" spans="1:9" x14ac:dyDescent="0.25">
      <c r="A76" t="s">
        <v>482</v>
      </c>
      <c r="B76" t="s">
        <v>290</v>
      </c>
      <c r="C76" t="s">
        <v>731</v>
      </c>
      <c r="D76" t="s">
        <v>643</v>
      </c>
      <c r="E76">
        <v>1</v>
      </c>
      <c r="F76">
        <f>COUNTIFS('1.master_list_7May'!C:C,A76)</f>
        <v>2</v>
      </c>
      <c r="G76" t="str">
        <f>VLOOKUP($A76,'1.master_list_7May'!C:G,5,0)</f>
        <v>Have records but not submitted</v>
      </c>
      <c r="H76" s="2">
        <f>VLOOKUP(A76,'1.master_list_7May'!C:J,8,0)</f>
        <v>45504</v>
      </c>
      <c r="I76">
        <f t="shared" si="1"/>
        <v>7</v>
      </c>
    </row>
    <row r="77" spans="1:9" x14ac:dyDescent="0.25">
      <c r="A77" t="s">
        <v>138</v>
      </c>
      <c r="B77" t="s">
        <v>14</v>
      </c>
      <c r="C77" t="s">
        <v>644</v>
      </c>
      <c r="D77" t="s">
        <v>643</v>
      </c>
      <c r="E77">
        <v>1</v>
      </c>
      <c r="F77">
        <f>COUNTIFS('1.master_list_7May'!C:C,A77)</f>
        <v>1</v>
      </c>
      <c r="G77" t="str">
        <f>VLOOKUP($A77,'1.master_list_7May'!C:G,5,0)</f>
        <v>No records</v>
      </c>
      <c r="I77" t="str">
        <f t="shared" si="1"/>
        <v>No month</v>
      </c>
    </row>
    <row r="78" spans="1:9" x14ac:dyDescent="0.25">
      <c r="A78" t="s">
        <v>566</v>
      </c>
      <c r="B78" t="s">
        <v>14</v>
      </c>
      <c r="C78" t="s">
        <v>624</v>
      </c>
      <c r="D78" t="s">
        <v>633</v>
      </c>
      <c r="E78">
        <v>1</v>
      </c>
      <c r="F78">
        <f>COUNTIFS('1.master_list_7May'!C:C,A78)</f>
        <v>1</v>
      </c>
      <c r="G78" t="str">
        <f>VLOOKUP($A78,'1.master_list_7May'!C:G,5,0)</f>
        <v>No records</v>
      </c>
      <c r="I78" t="str">
        <f t="shared" si="1"/>
        <v>No month</v>
      </c>
    </row>
    <row r="79" spans="1:9" x14ac:dyDescent="0.25">
      <c r="A79" t="s">
        <v>140</v>
      </c>
      <c r="B79" t="s">
        <v>14</v>
      </c>
      <c r="C79" t="s">
        <v>648</v>
      </c>
      <c r="D79" t="s">
        <v>729</v>
      </c>
      <c r="E79">
        <v>1</v>
      </c>
      <c r="F79">
        <f>COUNTIFS('1.master_list_7May'!C:C,A79)</f>
        <v>1</v>
      </c>
      <c r="G79" t="str">
        <f>VLOOKUP($A79,'1.master_list_7May'!C:G,5,0)</f>
        <v>No records</v>
      </c>
      <c r="I79" t="str">
        <f t="shared" si="1"/>
        <v>No month</v>
      </c>
    </row>
    <row r="80" spans="1:9" x14ac:dyDescent="0.25">
      <c r="A80" t="s">
        <v>142</v>
      </c>
      <c r="B80" t="s">
        <v>14</v>
      </c>
      <c r="C80" t="s">
        <v>654</v>
      </c>
      <c r="D80" t="s">
        <v>633</v>
      </c>
      <c r="E80">
        <v>1</v>
      </c>
      <c r="F80">
        <f>COUNTIFS('1.master_list_7May'!C:C,A80)</f>
        <v>1</v>
      </c>
      <c r="G80" t="str">
        <f>VLOOKUP($A80,'1.master_list_7May'!C:G,5,0)</f>
        <v>Have records but not submitted</v>
      </c>
      <c r="H80" s="2">
        <f>VLOOKUP(A80,'1.master_list_7May'!C:J,8,0)</f>
        <v>45504</v>
      </c>
      <c r="I80">
        <f t="shared" si="1"/>
        <v>7</v>
      </c>
    </row>
    <row r="81" spans="1:9" x14ac:dyDescent="0.25">
      <c r="A81" t="s">
        <v>144</v>
      </c>
      <c r="B81" t="s">
        <v>14</v>
      </c>
      <c r="C81" t="s">
        <v>625</v>
      </c>
      <c r="D81" t="s">
        <v>625</v>
      </c>
      <c r="E81">
        <v>1</v>
      </c>
      <c r="F81">
        <f>COUNTIFS('1.master_list_7May'!C:C,A81)</f>
        <v>1</v>
      </c>
      <c r="G81" t="str">
        <f>VLOOKUP($A81,'1.master_list_7May'!C:G,5,0)</f>
        <v>Have records but not submitted</v>
      </c>
      <c r="H81" s="2">
        <f>VLOOKUP(A81,'1.master_list_7May'!C:J,8,0)</f>
        <v>45504</v>
      </c>
      <c r="I81">
        <f t="shared" si="1"/>
        <v>7</v>
      </c>
    </row>
    <row r="82" spans="1:9" x14ac:dyDescent="0.25">
      <c r="A82" t="s">
        <v>146</v>
      </c>
      <c r="B82" t="s">
        <v>14</v>
      </c>
      <c r="C82" t="s">
        <v>731</v>
      </c>
      <c r="D82" t="s">
        <v>643</v>
      </c>
      <c r="E82">
        <v>1</v>
      </c>
      <c r="F82">
        <f>COUNTIFS('1.master_list_7May'!C:C,A82)</f>
        <v>1</v>
      </c>
      <c r="G82" t="str">
        <f>VLOOKUP($A82,'1.master_list_7May'!C:G,5,0)</f>
        <v>No records</v>
      </c>
      <c r="I82" t="str">
        <f t="shared" si="1"/>
        <v>No month</v>
      </c>
    </row>
    <row r="83" spans="1:9" x14ac:dyDescent="0.25">
      <c r="A83" t="s">
        <v>148</v>
      </c>
      <c r="B83" t="s">
        <v>14</v>
      </c>
      <c r="C83" t="s">
        <v>730</v>
      </c>
      <c r="D83" t="s">
        <v>633</v>
      </c>
      <c r="E83">
        <v>1</v>
      </c>
      <c r="F83">
        <f>COUNTIFS('1.master_list_7May'!C:C,A83)</f>
        <v>1</v>
      </c>
      <c r="G83" t="str">
        <f>VLOOKUP($A83,'1.master_list_7May'!C:G,5,0)</f>
        <v>No records</v>
      </c>
      <c r="I83" t="str">
        <f t="shared" si="1"/>
        <v>No month</v>
      </c>
    </row>
    <row r="84" spans="1:9" x14ac:dyDescent="0.25">
      <c r="A84" t="s">
        <v>487</v>
      </c>
      <c r="B84" t="s">
        <v>290</v>
      </c>
      <c r="C84" t="s">
        <v>731</v>
      </c>
      <c r="D84" t="s">
        <v>643</v>
      </c>
      <c r="E84">
        <v>1</v>
      </c>
      <c r="F84">
        <f>COUNTIFS('1.master_list_7May'!C:C,A84)</f>
        <v>3</v>
      </c>
      <c r="G84" t="str">
        <f>VLOOKUP($A84,'1.master_list_7May'!C:G,5,0)</f>
        <v>Have records but not submitted</v>
      </c>
      <c r="H84" s="2">
        <f>VLOOKUP(A84,'1.master_list_7May'!C:J,8,0)</f>
        <v>45504</v>
      </c>
      <c r="I84">
        <f t="shared" si="1"/>
        <v>7</v>
      </c>
    </row>
    <row r="85" spans="1:9" x14ac:dyDescent="0.25">
      <c r="A85" t="s">
        <v>494</v>
      </c>
      <c r="B85" t="s">
        <v>290</v>
      </c>
      <c r="C85" t="s">
        <v>731</v>
      </c>
      <c r="D85" t="s">
        <v>643</v>
      </c>
      <c r="E85">
        <v>1</v>
      </c>
      <c r="F85">
        <f>COUNTIFS('1.master_list_7May'!C:C,A85)</f>
        <v>6</v>
      </c>
      <c r="G85" t="str">
        <f>VLOOKUP($A85,'1.master_list_7May'!C:G,5,0)</f>
        <v>Have records but not submitted</v>
      </c>
      <c r="H85" s="2">
        <f>VLOOKUP(A85,'1.master_list_7May'!C:J,8,0)</f>
        <v>45504</v>
      </c>
      <c r="I85">
        <f t="shared" si="1"/>
        <v>7</v>
      </c>
    </row>
    <row r="86" spans="1:9" x14ac:dyDescent="0.25">
      <c r="A86" t="s">
        <v>150</v>
      </c>
      <c r="B86" t="s">
        <v>14</v>
      </c>
      <c r="C86" t="s">
        <v>625</v>
      </c>
      <c r="D86" t="s">
        <v>625</v>
      </c>
      <c r="E86">
        <v>1</v>
      </c>
      <c r="F86">
        <f>COUNTIFS('1.master_list_7May'!C:C,A86)</f>
        <v>1</v>
      </c>
      <c r="G86" t="str">
        <f>VLOOKUP($A86,'1.master_list_7May'!C:G,5,0)</f>
        <v>No records</v>
      </c>
      <c r="I86" t="str">
        <f t="shared" si="1"/>
        <v>No month</v>
      </c>
    </row>
    <row r="87" spans="1:9" x14ac:dyDescent="0.25">
      <c r="A87" t="s">
        <v>152</v>
      </c>
      <c r="B87" t="s">
        <v>14</v>
      </c>
      <c r="C87" t="s">
        <v>625</v>
      </c>
      <c r="D87" t="s">
        <v>625</v>
      </c>
      <c r="E87">
        <v>1</v>
      </c>
      <c r="F87">
        <f>COUNTIFS('1.master_list_7May'!C:C,A87)</f>
        <v>1</v>
      </c>
      <c r="G87" t="str">
        <f>VLOOKUP($A87,'1.master_list_7May'!C:G,5,0)</f>
        <v>No records</v>
      </c>
      <c r="I87" t="str">
        <f t="shared" si="1"/>
        <v>No month</v>
      </c>
    </row>
    <row r="88" spans="1:9" x14ac:dyDescent="0.25">
      <c r="A88" t="s">
        <v>154</v>
      </c>
      <c r="B88" t="s">
        <v>14</v>
      </c>
      <c r="C88" t="s">
        <v>626</v>
      </c>
      <c r="D88" t="s">
        <v>643</v>
      </c>
      <c r="E88">
        <v>1</v>
      </c>
      <c r="F88">
        <f>COUNTIFS('1.master_list_7May'!C:C,A88)</f>
        <v>1</v>
      </c>
      <c r="G88" t="str">
        <f>VLOOKUP($A88,'1.master_list_7May'!C:G,5,0)</f>
        <v>No records</v>
      </c>
      <c r="I88" t="str">
        <f t="shared" si="1"/>
        <v>No month</v>
      </c>
    </row>
    <row r="89" spans="1:9" x14ac:dyDescent="0.25">
      <c r="A89" t="s">
        <v>156</v>
      </c>
      <c r="B89" t="s">
        <v>14</v>
      </c>
      <c r="C89" t="s">
        <v>653</v>
      </c>
      <c r="D89" t="s">
        <v>633</v>
      </c>
      <c r="E89">
        <v>1</v>
      </c>
      <c r="F89">
        <f>COUNTIFS('1.master_list_7May'!C:C,A89)</f>
        <v>1</v>
      </c>
      <c r="G89" t="str">
        <f>VLOOKUP($A89,'1.master_list_7May'!C:G,5,0)</f>
        <v>No records</v>
      </c>
      <c r="I89" t="str">
        <f t="shared" si="1"/>
        <v>No month</v>
      </c>
    </row>
    <row r="90" spans="1:9" x14ac:dyDescent="0.25">
      <c r="A90" t="s">
        <v>507</v>
      </c>
      <c r="B90" t="s">
        <v>290</v>
      </c>
      <c r="C90" t="s">
        <v>731</v>
      </c>
      <c r="D90" t="s">
        <v>643</v>
      </c>
      <c r="E90">
        <v>1</v>
      </c>
      <c r="F90">
        <f>COUNTIFS('1.master_list_7May'!C:C,A90)</f>
        <v>2</v>
      </c>
      <c r="G90" t="str">
        <f>VLOOKUP($A90,'1.master_list_7May'!C:G,5,0)</f>
        <v>Have records but not submitted</v>
      </c>
      <c r="H90" s="2">
        <f>VLOOKUP(A90,'1.master_list_7May'!C:J,8,0)</f>
        <v>45504</v>
      </c>
      <c r="I90">
        <f t="shared" si="1"/>
        <v>7</v>
      </c>
    </row>
    <row r="91" spans="1:9" x14ac:dyDescent="0.25">
      <c r="A91" t="s">
        <v>158</v>
      </c>
      <c r="B91" t="s">
        <v>14</v>
      </c>
      <c r="C91" t="s">
        <v>656</v>
      </c>
      <c r="D91" t="s">
        <v>629</v>
      </c>
      <c r="E91">
        <v>1</v>
      </c>
      <c r="F91">
        <f>COUNTIFS('1.master_list_7May'!C:C,A91)</f>
        <v>1</v>
      </c>
      <c r="G91" t="str">
        <f>VLOOKUP($A91,'1.master_list_7May'!C:G,5,0)</f>
        <v>Have records and have submitted</v>
      </c>
      <c r="I91" t="str">
        <f t="shared" si="1"/>
        <v>No month</v>
      </c>
    </row>
    <row r="92" spans="1:9" x14ac:dyDescent="0.25">
      <c r="A92" t="s">
        <v>160</v>
      </c>
      <c r="B92" t="s">
        <v>14</v>
      </c>
      <c r="C92" t="s">
        <v>654</v>
      </c>
      <c r="D92" t="s">
        <v>633</v>
      </c>
      <c r="E92">
        <v>1</v>
      </c>
      <c r="F92">
        <f>COUNTIFS('1.master_list_7May'!C:C,A92)</f>
        <v>1</v>
      </c>
      <c r="G92" t="str">
        <f>VLOOKUP($A92,'1.master_list_7May'!C:G,5,0)</f>
        <v>No records</v>
      </c>
      <c r="I92" t="str">
        <f t="shared" si="1"/>
        <v>No month</v>
      </c>
    </row>
    <row r="93" spans="1:9" x14ac:dyDescent="0.25">
      <c r="A93" t="s">
        <v>162</v>
      </c>
      <c r="B93" t="s">
        <v>14</v>
      </c>
      <c r="C93" t="s">
        <v>646</v>
      </c>
      <c r="D93" t="s">
        <v>643</v>
      </c>
      <c r="E93">
        <v>1</v>
      </c>
      <c r="F93">
        <f>COUNTIFS('1.master_list_7May'!C:C,A93)</f>
        <v>1</v>
      </c>
      <c r="G93" t="str">
        <f>VLOOKUP($A93,'1.master_list_7May'!C:G,5,0)</f>
        <v>Have records but not submitted</v>
      </c>
      <c r="H93" s="2">
        <f>VLOOKUP(A93,'1.master_list_7May'!C:J,8,0)</f>
        <v>45504</v>
      </c>
      <c r="I93">
        <f t="shared" si="1"/>
        <v>7</v>
      </c>
    </row>
    <row r="94" spans="1:9" x14ac:dyDescent="0.25">
      <c r="A94" t="s">
        <v>164</v>
      </c>
      <c r="B94" t="s">
        <v>14</v>
      </c>
      <c r="C94" t="s">
        <v>691</v>
      </c>
      <c r="D94" t="s">
        <v>627</v>
      </c>
      <c r="E94">
        <v>1</v>
      </c>
      <c r="F94">
        <f>COUNTIFS('1.master_list_7May'!C:C,A94)</f>
        <v>1</v>
      </c>
      <c r="G94" t="str">
        <f>VLOOKUP($A94,'1.master_list_7May'!C:G,5,0)</f>
        <v>Have records but not submitted</v>
      </c>
      <c r="H94" s="2">
        <f>VLOOKUP(A94,'1.master_list_7May'!C:J,8,0)</f>
        <v>45504</v>
      </c>
      <c r="I94">
        <f t="shared" si="1"/>
        <v>7</v>
      </c>
    </row>
    <row r="95" spans="1:9" x14ac:dyDescent="0.25">
      <c r="A95" t="s">
        <v>512</v>
      </c>
      <c r="B95" t="s">
        <v>290</v>
      </c>
      <c r="C95" t="s">
        <v>731</v>
      </c>
      <c r="D95" t="s">
        <v>643</v>
      </c>
      <c r="E95">
        <v>1</v>
      </c>
      <c r="F95">
        <f>COUNTIFS('1.master_list_7May'!C:C,A95)</f>
        <v>4</v>
      </c>
      <c r="G95" t="str">
        <f>VLOOKUP($A95,'1.master_list_7May'!C:G,5,0)</f>
        <v>Have records but not submitted</v>
      </c>
      <c r="H95" s="2">
        <f>VLOOKUP(A95,'1.master_list_7May'!C:J,8,0)</f>
        <v>45504</v>
      </c>
      <c r="I95">
        <f t="shared" si="1"/>
        <v>7</v>
      </c>
    </row>
    <row r="96" spans="1:9" x14ac:dyDescent="0.25">
      <c r="A96" t="s">
        <v>166</v>
      </c>
      <c r="B96" t="s">
        <v>14</v>
      </c>
      <c r="C96" t="s">
        <v>648</v>
      </c>
      <c r="D96" t="s">
        <v>729</v>
      </c>
      <c r="E96">
        <v>1</v>
      </c>
      <c r="F96">
        <f>COUNTIFS('1.master_list_7May'!C:C,A96)</f>
        <v>1</v>
      </c>
      <c r="G96" t="str">
        <f>VLOOKUP($A96,'1.master_list_7May'!C:G,5,0)</f>
        <v>Have records but not submitted</v>
      </c>
      <c r="H96" s="2">
        <f>VLOOKUP(A96,'1.master_list_7May'!C:J,8,0)</f>
        <v>45443</v>
      </c>
      <c r="I96">
        <f t="shared" si="1"/>
        <v>5</v>
      </c>
    </row>
    <row r="97" spans="1:9" x14ac:dyDescent="0.25">
      <c r="A97" t="s">
        <v>170</v>
      </c>
      <c r="B97" t="s">
        <v>14</v>
      </c>
      <c r="C97" t="s">
        <v>651</v>
      </c>
      <c r="D97" t="s">
        <v>633</v>
      </c>
      <c r="E97">
        <v>1</v>
      </c>
      <c r="F97">
        <f>COUNTIFS('1.master_list_7May'!C:C,A97)</f>
        <v>1</v>
      </c>
      <c r="G97" t="str">
        <f>VLOOKUP($A97,'1.master_list_7May'!C:G,5,0)</f>
        <v>No records</v>
      </c>
      <c r="I97" t="str">
        <f t="shared" si="1"/>
        <v>No month</v>
      </c>
    </row>
    <row r="98" spans="1:9" x14ac:dyDescent="0.25">
      <c r="A98" t="s">
        <v>172</v>
      </c>
      <c r="B98" t="s">
        <v>14</v>
      </c>
      <c r="C98" t="s">
        <v>625</v>
      </c>
      <c r="D98" t="s">
        <v>625</v>
      </c>
      <c r="E98">
        <v>1</v>
      </c>
      <c r="F98">
        <f>COUNTIFS('1.master_list_7May'!C:C,A98)</f>
        <v>1</v>
      </c>
      <c r="G98" t="str">
        <f>VLOOKUP($A98,'1.master_list_7May'!C:G,5,0)</f>
        <v>No records</v>
      </c>
      <c r="I98" t="str">
        <f t="shared" si="1"/>
        <v>No month</v>
      </c>
    </row>
    <row r="99" spans="1:9" x14ac:dyDescent="0.25">
      <c r="A99" s="3" t="s">
        <v>174</v>
      </c>
      <c r="B99" t="s">
        <v>14</v>
      </c>
      <c r="C99" t="s">
        <v>689</v>
      </c>
      <c r="D99" t="s">
        <v>629</v>
      </c>
      <c r="E99">
        <v>1</v>
      </c>
      <c r="F99">
        <f>COUNTIFS('1.master_list_7May'!C:C,A99)</f>
        <v>1</v>
      </c>
      <c r="G99" t="str">
        <f>VLOOKUP($A99,'1.master_list_7May'!C:G,5,0)</f>
        <v>Have records and have submitted</v>
      </c>
      <c r="I99" t="str">
        <f t="shared" si="1"/>
        <v>No month</v>
      </c>
    </row>
    <row r="100" spans="1:9" x14ac:dyDescent="0.25">
      <c r="A100" t="s">
        <v>176</v>
      </c>
      <c r="B100" t="s">
        <v>14</v>
      </c>
      <c r="C100" t="s">
        <v>626</v>
      </c>
      <c r="D100" t="s">
        <v>643</v>
      </c>
      <c r="E100">
        <v>1</v>
      </c>
      <c r="F100">
        <f>COUNTIFS('1.master_list_7May'!C:C,A100)</f>
        <v>1</v>
      </c>
      <c r="G100" t="str">
        <f>VLOOKUP($A100,'1.master_list_7May'!C:G,5,0)</f>
        <v>No records</v>
      </c>
      <c r="I100" t="str">
        <f t="shared" si="1"/>
        <v>No month</v>
      </c>
    </row>
    <row r="101" spans="1:9" x14ac:dyDescent="0.25">
      <c r="A101" t="s">
        <v>521</v>
      </c>
      <c r="B101" t="s">
        <v>290</v>
      </c>
      <c r="C101" t="s">
        <v>731</v>
      </c>
      <c r="D101" t="s">
        <v>643</v>
      </c>
      <c r="E101">
        <v>1</v>
      </c>
      <c r="F101">
        <f>COUNTIFS('1.master_list_7May'!C:C,A101)</f>
        <v>2</v>
      </c>
      <c r="G101" t="str">
        <f>VLOOKUP($A101,'1.master_list_7May'!C:G,5,0)</f>
        <v>Have records but not submitted</v>
      </c>
      <c r="H101" s="2">
        <f>VLOOKUP(A101,'1.master_list_7May'!C:J,8,0)</f>
        <v>45504</v>
      </c>
      <c r="I101">
        <f t="shared" si="1"/>
        <v>7</v>
      </c>
    </row>
    <row r="102" spans="1:9" x14ac:dyDescent="0.25">
      <c r="A102" t="s">
        <v>526</v>
      </c>
      <c r="B102" t="s">
        <v>290</v>
      </c>
      <c r="C102" t="s">
        <v>731</v>
      </c>
      <c r="D102" t="s">
        <v>643</v>
      </c>
      <c r="E102">
        <v>1</v>
      </c>
      <c r="F102">
        <f>COUNTIFS('1.master_list_7May'!C:C,A102)</f>
        <v>1</v>
      </c>
      <c r="G102" t="str">
        <f>VLOOKUP($A102,'1.master_list_7May'!C:G,5,0)</f>
        <v>No records</v>
      </c>
      <c r="I102" t="str">
        <f t="shared" si="1"/>
        <v>No month</v>
      </c>
    </row>
    <row r="103" spans="1:9" x14ac:dyDescent="0.25">
      <c r="A103" t="s">
        <v>178</v>
      </c>
      <c r="B103" t="s">
        <v>14</v>
      </c>
      <c r="C103" t="s">
        <v>649</v>
      </c>
      <c r="D103" t="s">
        <v>629</v>
      </c>
      <c r="E103">
        <v>1</v>
      </c>
      <c r="F103">
        <f>COUNTIFS('1.master_list_7May'!C:C,A103)</f>
        <v>1</v>
      </c>
      <c r="G103" t="str">
        <f>VLOOKUP($A103,'1.master_list_7May'!C:G,5,0)</f>
        <v>Have records and have submitted</v>
      </c>
      <c r="I103" t="str">
        <f t="shared" si="1"/>
        <v>No month</v>
      </c>
    </row>
    <row r="104" spans="1:9" x14ac:dyDescent="0.25">
      <c r="A104" t="s">
        <v>180</v>
      </c>
      <c r="B104" t="s">
        <v>14</v>
      </c>
      <c r="C104" t="s">
        <v>731</v>
      </c>
      <c r="D104" t="s">
        <v>643</v>
      </c>
      <c r="E104">
        <v>1</v>
      </c>
      <c r="F104">
        <f>COUNTIFS('1.master_list_7May'!C:C,A104)</f>
        <v>1</v>
      </c>
      <c r="G104" t="str">
        <f>VLOOKUP($A104,'1.master_list_7May'!C:G,5,0)</f>
        <v>Have records and have submitted</v>
      </c>
      <c r="I104" t="str">
        <f t="shared" si="1"/>
        <v>No month</v>
      </c>
    </row>
    <row r="105" spans="1:9" x14ac:dyDescent="0.25">
      <c r="A105" t="s">
        <v>182</v>
      </c>
      <c r="B105" t="s">
        <v>14</v>
      </c>
      <c r="C105" t="s">
        <v>652</v>
      </c>
      <c r="D105" t="s">
        <v>633</v>
      </c>
      <c r="E105">
        <v>1</v>
      </c>
      <c r="F105">
        <f>COUNTIFS('1.master_list_7May'!C:C,A105)</f>
        <v>1</v>
      </c>
      <c r="G105" t="str">
        <f>VLOOKUP($A105,'1.master_list_7May'!C:G,5,0)</f>
        <v>Have records but not submitted</v>
      </c>
      <c r="H105" s="2">
        <f>VLOOKUP(A105,'1.master_list_7May'!C:J,8,0)</f>
        <v>45504</v>
      </c>
      <c r="I105">
        <f t="shared" si="1"/>
        <v>7</v>
      </c>
    </row>
    <row r="106" spans="1:9" x14ac:dyDescent="0.25">
      <c r="A106" t="s">
        <v>184</v>
      </c>
      <c r="B106" t="s">
        <v>14</v>
      </c>
      <c r="C106" t="s">
        <v>652</v>
      </c>
      <c r="D106" t="s">
        <v>633</v>
      </c>
      <c r="E106">
        <v>1</v>
      </c>
      <c r="F106">
        <f>COUNTIFS('1.master_list_7May'!C:C,A106)</f>
        <v>1</v>
      </c>
      <c r="G106" t="str">
        <f>VLOOKUP($A106,'1.master_list_7May'!C:G,5,0)</f>
        <v>Have records but not submitted</v>
      </c>
      <c r="H106" s="2">
        <f>VLOOKUP(A106,'1.master_list_7May'!C:J,8,0)</f>
        <v>45504</v>
      </c>
      <c r="I106">
        <f t="shared" si="1"/>
        <v>7</v>
      </c>
    </row>
    <row r="107" spans="1:9" x14ac:dyDescent="0.25">
      <c r="A107" t="s">
        <v>186</v>
      </c>
      <c r="B107" t="s">
        <v>14</v>
      </c>
      <c r="C107" t="s">
        <v>626</v>
      </c>
      <c r="D107" t="s">
        <v>643</v>
      </c>
      <c r="E107">
        <v>1</v>
      </c>
      <c r="F107">
        <f>COUNTIFS('1.master_list_7May'!C:C,A107)</f>
        <v>1</v>
      </c>
      <c r="G107" t="str">
        <f>VLOOKUP($A107,'1.master_list_7May'!C:G,5,0)</f>
        <v>Have records but not submitted</v>
      </c>
      <c r="H107" s="2">
        <f>VLOOKUP(A107,'1.master_list_7May'!C:J,8,0)</f>
        <v>45504</v>
      </c>
      <c r="I107">
        <f t="shared" si="1"/>
        <v>7</v>
      </c>
    </row>
    <row r="108" spans="1:9" x14ac:dyDescent="0.25">
      <c r="A108" t="s">
        <v>188</v>
      </c>
      <c r="B108" t="s">
        <v>14</v>
      </c>
      <c r="C108" t="s">
        <v>648</v>
      </c>
      <c r="D108" t="s">
        <v>729</v>
      </c>
      <c r="E108">
        <v>1</v>
      </c>
      <c r="F108">
        <f>COUNTIFS('1.master_list_7May'!C:C,A108)</f>
        <v>1</v>
      </c>
      <c r="G108" t="str">
        <f>VLOOKUP($A108,'1.master_list_7May'!C:G,5,0)</f>
        <v>No records</v>
      </c>
      <c r="I108" t="str">
        <f t="shared" si="1"/>
        <v>No month</v>
      </c>
    </row>
    <row r="109" spans="1:9" x14ac:dyDescent="0.25">
      <c r="A109" t="s">
        <v>529</v>
      </c>
      <c r="B109" t="s">
        <v>290</v>
      </c>
      <c r="C109" t="s">
        <v>731</v>
      </c>
      <c r="D109" t="s">
        <v>643</v>
      </c>
      <c r="E109">
        <v>1</v>
      </c>
      <c r="F109">
        <f>COUNTIFS('1.master_list_7May'!C:C,A109)</f>
        <v>2</v>
      </c>
      <c r="G109" t="str">
        <f>VLOOKUP($A109,'1.master_list_7May'!C:G,5,0)</f>
        <v>Have records but not submitted</v>
      </c>
      <c r="H109" s="2">
        <f>VLOOKUP(A109,'1.master_list_7May'!C:J,8,0)</f>
        <v>45504</v>
      </c>
      <c r="I109">
        <f t="shared" si="1"/>
        <v>7</v>
      </c>
    </row>
    <row r="110" spans="1:9" x14ac:dyDescent="0.25">
      <c r="A110" t="s">
        <v>190</v>
      </c>
      <c r="B110" t="s">
        <v>14</v>
      </c>
      <c r="C110" t="s">
        <v>654</v>
      </c>
      <c r="D110" t="s">
        <v>633</v>
      </c>
      <c r="E110">
        <v>1</v>
      </c>
      <c r="F110">
        <f>COUNTIFS('1.master_list_7May'!C:C,A110)</f>
        <v>1</v>
      </c>
      <c r="G110" t="str">
        <f>VLOOKUP($A110,'1.master_list_7May'!C:G,5,0)</f>
        <v>No records</v>
      </c>
      <c r="I110" t="str">
        <f t="shared" si="1"/>
        <v>No month</v>
      </c>
    </row>
    <row r="111" spans="1:9" x14ac:dyDescent="0.25">
      <c r="A111" t="s">
        <v>192</v>
      </c>
      <c r="B111" t="s">
        <v>14</v>
      </c>
      <c r="C111" t="s">
        <v>689</v>
      </c>
      <c r="D111" t="s">
        <v>627</v>
      </c>
      <c r="E111">
        <v>1</v>
      </c>
      <c r="F111">
        <f>COUNTIFS('1.master_list_7May'!C:C,A111)</f>
        <v>1</v>
      </c>
      <c r="G111" t="str">
        <f>VLOOKUP($A111,'1.master_list_7May'!C:G,5,0)</f>
        <v>No records</v>
      </c>
      <c r="I111" t="str">
        <f t="shared" si="1"/>
        <v>No month</v>
      </c>
    </row>
    <row r="112" spans="1:9" x14ac:dyDescent="0.25">
      <c r="A112" t="s">
        <v>194</v>
      </c>
      <c r="B112" t="s">
        <v>14</v>
      </c>
      <c r="C112" t="s">
        <v>689</v>
      </c>
      <c r="D112" t="s">
        <v>627</v>
      </c>
      <c r="E112">
        <v>1</v>
      </c>
      <c r="F112">
        <f>COUNTIFS('1.master_list_7May'!C:C,A112)</f>
        <v>1</v>
      </c>
      <c r="G112" t="str">
        <f>VLOOKUP($A112,'1.master_list_7May'!C:G,5,0)</f>
        <v>Have records and have submitted</v>
      </c>
      <c r="I112" t="str">
        <f t="shared" si="1"/>
        <v>No month</v>
      </c>
    </row>
    <row r="113" spans="1:9" x14ac:dyDescent="0.25">
      <c r="A113" s="3" t="s">
        <v>196</v>
      </c>
      <c r="B113" t="s">
        <v>14</v>
      </c>
      <c r="C113" t="s">
        <v>626</v>
      </c>
      <c r="D113" t="s">
        <v>643</v>
      </c>
      <c r="E113">
        <v>1</v>
      </c>
      <c r="F113">
        <f>COUNTIFS('1.master_list_7May'!C:C,A113)</f>
        <v>1</v>
      </c>
      <c r="G113" t="str">
        <f>VLOOKUP($A113,'1.master_list_7May'!C:G,5,0)</f>
        <v>Have records and have submitted</v>
      </c>
      <c r="I113" t="str">
        <f t="shared" si="1"/>
        <v>No month</v>
      </c>
    </row>
    <row r="114" spans="1:9" x14ac:dyDescent="0.25">
      <c r="A114" t="s">
        <v>198</v>
      </c>
      <c r="B114" t="s">
        <v>14</v>
      </c>
      <c r="C114" t="s">
        <v>731</v>
      </c>
      <c r="D114" t="s">
        <v>643</v>
      </c>
      <c r="E114">
        <v>1</v>
      </c>
      <c r="F114">
        <f>COUNTIFS('1.master_list_7May'!C:C,A114)</f>
        <v>1</v>
      </c>
      <c r="G114" t="str">
        <f>VLOOKUP($A114,'1.master_list_7May'!C:G,5,0)</f>
        <v>No records</v>
      </c>
      <c r="I114" t="str">
        <f t="shared" si="1"/>
        <v>No month</v>
      </c>
    </row>
    <row r="115" spans="1:9" x14ac:dyDescent="0.25">
      <c r="A115" s="3" t="s">
        <v>200</v>
      </c>
      <c r="B115" t="s">
        <v>14</v>
      </c>
      <c r="C115" t="s">
        <v>644</v>
      </c>
      <c r="D115" t="s">
        <v>643</v>
      </c>
      <c r="E115">
        <v>1</v>
      </c>
      <c r="F115">
        <f>COUNTIFS('1.master_list_7May'!C:C,A115)</f>
        <v>1</v>
      </c>
      <c r="G115" t="str">
        <f>VLOOKUP($A115,'1.master_list_7May'!C:G,5,0)</f>
        <v>Have records and have submitted</v>
      </c>
      <c r="I115" t="str">
        <f t="shared" si="1"/>
        <v>No month</v>
      </c>
    </row>
    <row r="116" spans="1:9" x14ac:dyDescent="0.25">
      <c r="A116" t="s">
        <v>202</v>
      </c>
      <c r="B116" t="s">
        <v>14</v>
      </c>
      <c r="C116" t="s">
        <v>690</v>
      </c>
      <c r="D116" t="s">
        <v>627</v>
      </c>
      <c r="E116">
        <v>1</v>
      </c>
      <c r="F116">
        <f>COUNTIFS('1.master_list_7May'!C:C,A116)</f>
        <v>1</v>
      </c>
      <c r="G116" t="str">
        <f>VLOOKUP($A116,'1.master_list_7May'!C:G,5,0)</f>
        <v>Have records but not submitted</v>
      </c>
      <c r="H116" s="2">
        <f>VLOOKUP(A116,'1.master_list_7May'!C:J,8,0)</f>
        <v>45504</v>
      </c>
      <c r="I116">
        <f t="shared" si="1"/>
        <v>7</v>
      </c>
    </row>
    <row r="117" spans="1:9" x14ac:dyDescent="0.25">
      <c r="A117" t="s">
        <v>204</v>
      </c>
      <c r="B117" t="s">
        <v>14</v>
      </c>
      <c r="C117" s="4" t="s">
        <v>649</v>
      </c>
      <c r="D117" t="s">
        <v>728</v>
      </c>
      <c r="E117">
        <v>1</v>
      </c>
      <c r="F117">
        <f>COUNTIFS('1.master_list_7May'!C:C,A117)</f>
        <v>1</v>
      </c>
      <c r="G117" t="str">
        <f>VLOOKUP($A117,'1.master_list_7May'!C:G,5,0)</f>
        <v>Have records but not submitted</v>
      </c>
      <c r="H117" s="2">
        <f>VLOOKUP(A117,'1.master_list_7May'!C:J,8,0)</f>
        <v>45504</v>
      </c>
      <c r="I117">
        <f t="shared" si="1"/>
        <v>7</v>
      </c>
    </row>
    <row r="118" spans="1:9" x14ac:dyDescent="0.25">
      <c r="A118" s="3" t="s">
        <v>206</v>
      </c>
      <c r="B118" t="s">
        <v>14</v>
      </c>
      <c r="C118" t="s">
        <v>731</v>
      </c>
      <c r="D118" t="s">
        <v>643</v>
      </c>
      <c r="E118">
        <v>1</v>
      </c>
      <c r="F118">
        <f>COUNTIFS('1.master_list_7May'!C:C,A118)</f>
        <v>1</v>
      </c>
      <c r="G118" t="str">
        <f>VLOOKUP($A118,'1.master_list_7May'!C:G,5,0)</f>
        <v>Have records and have submitted</v>
      </c>
      <c r="I118" t="str">
        <f t="shared" si="1"/>
        <v>No month</v>
      </c>
    </row>
    <row r="119" spans="1:9" x14ac:dyDescent="0.25">
      <c r="A119" s="3" t="s">
        <v>208</v>
      </c>
      <c r="B119" t="s">
        <v>14</v>
      </c>
      <c r="C119" t="s">
        <v>656</v>
      </c>
      <c r="D119" t="s">
        <v>629</v>
      </c>
      <c r="E119">
        <v>1</v>
      </c>
      <c r="F119">
        <f>COUNTIFS('1.master_list_7May'!C:C,A119)</f>
        <v>1</v>
      </c>
      <c r="G119" t="str">
        <f>VLOOKUP($A119,'1.master_list_7May'!C:G,5,0)</f>
        <v>Have records and have submitted</v>
      </c>
      <c r="I119" t="str">
        <f t="shared" si="1"/>
        <v>No month</v>
      </c>
    </row>
    <row r="120" spans="1:9" x14ac:dyDescent="0.25">
      <c r="A120" t="s">
        <v>210</v>
      </c>
      <c r="B120" t="s">
        <v>14</v>
      </c>
      <c r="C120" t="s">
        <v>689</v>
      </c>
      <c r="D120" t="s">
        <v>627</v>
      </c>
      <c r="E120">
        <v>1</v>
      </c>
      <c r="F120">
        <f>COUNTIFS('1.master_list_7May'!C:C,A120)</f>
        <v>1</v>
      </c>
      <c r="G120" t="str">
        <f>VLOOKUP($A120,'1.master_list_7May'!C:G,5,0)</f>
        <v>Have records but not submitted</v>
      </c>
      <c r="H120" s="2">
        <f>VLOOKUP(A120,'1.master_list_7May'!C:J,8,0)</f>
        <v>45504</v>
      </c>
      <c r="I120">
        <f t="shared" si="1"/>
        <v>7</v>
      </c>
    </row>
    <row r="121" spans="1:9" x14ac:dyDescent="0.25">
      <c r="A121" t="s">
        <v>568</v>
      </c>
      <c r="B121" t="s">
        <v>14</v>
      </c>
      <c r="C121" t="s">
        <v>648</v>
      </c>
      <c r="D121" t="s">
        <v>729</v>
      </c>
      <c r="E121">
        <v>1</v>
      </c>
      <c r="F121">
        <f>COUNTIFS('1.master_list_7May'!C:C,A121)</f>
        <v>1</v>
      </c>
      <c r="G121" t="str">
        <f>VLOOKUP($A121,'1.master_list_7May'!C:G,5,0)</f>
        <v>No records</v>
      </c>
      <c r="I121" t="str">
        <f t="shared" si="1"/>
        <v>No month</v>
      </c>
    </row>
    <row r="122" spans="1:9" x14ac:dyDescent="0.25">
      <c r="A122" s="3" t="s">
        <v>212</v>
      </c>
      <c r="B122" t="s">
        <v>14</v>
      </c>
      <c r="C122" t="s">
        <v>648</v>
      </c>
      <c r="D122" t="s">
        <v>629</v>
      </c>
      <c r="E122">
        <v>1</v>
      </c>
      <c r="F122">
        <f>COUNTIFS('1.master_list_7May'!C:C,A122)</f>
        <v>1</v>
      </c>
      <c r="G122" t="str">
        <f>VLOOKUP($A122,'1.master_list_7May'!C:G,5,0)</f>
        <v>Have records and have submitted</v>
      </c>
      <c r="I122" t="str">
        <f t="shared" si="1"/>
        <v>No month</v>
      </c>
    </row>
    <row r="123" spans="1:9" x14ac:dyDescent="0.25">
      <c r="A123" t="s">
        <v>214</v>
      </c>
      <c r="B123" t="s">
        <v>14</v>
      </c>
      <c r="C123" t="s">
        <v>648</v>
      </c>
      <c r="D123" t="s">
        <v>629</v>
      </c>
      <c r="E123">
        <v>1</v>
      </c>
      <c r="F123">
        <f>COUNTIFS('1.master_list_7May'!C:C,A123)</f>
        <v>1</v>
      </c>
      <c r="G123" t="str">
        <f>VLOOKUP($A123,'1.master_list_7May'!C:G,5,0)</f>
        <v>Have records and have submitted</v>
      </c>
      <c r="I123" t="str">
        <f t="shared" si="1"/>
        <v>No month</v>
      </c>
    </row>
    <row r="124" spans="1:9" x14ac:dyDescent="0.25">
      <c r="A124" t="s">
        <v>216</v>
      </c>
      <c r="B124" t="s">
        <v>14</v>
      </c>
      <c r="C124" s="4" t="s">
        <v>649</v>
      </c>
      <c r="D124" t="s">
        <v>728</v>
      </c>
      <c r="E124">
        <v>1</v>
      </c>
      <c r="F124">
        <f>COUNTIFS('1.master_list_7May'!C:C,A124)</f>
        <v>1</v>
      </c>
      <c r="G124" t="str">
        <f>VLOOKUP($A124,'1.master_list_7May'!C:G,5,0)</f>
        <v>Have records but not submitted</v>
      </c>
      <c r="H124" s="2">
        <f>VLOOKUP(A124,'1.master_list_7May'!C:J,8,0)</f>
        <v>45504</v>
      </c>
      <c r="I124">
        <f t="shared" si="1"/>
        <v>7</v>
      </c>
    </row>
    <row r="125" spans="1:9" x14ac:dyDescent="0.25">
      <c r="A125" t="s">
        <v>534</v>
      </c>
      <c r="B125" t="s">
        <v>290</v>
      </c>
      <c r="C125" t="s">
        <v>731</v>
      </c>
      <c r="D125" t="s">
        <v>643</v>
      </c>
      <c r="E125">
        <v>1</v>
      </c>
      <c r="F125">
        <f>COUNTIFS('1.master_list_7May'!C:C,A125)</f>
        <v>2</v>
      </c>
      <c r="G125" t="str">
        <f>VLOOKUP($A125,'1.master_list_7May'!C:G,5,0)</f>
        <v>Have records but not submitted</v>
      </c>
      <c r="H125" s="2">
        <f>VLOOKUP(A125,'1.master_list_7May'!C:J,8,0)</f>
        <v>45504</v>
      </c>
      <c r="I125">
        <f t="shared" si="1"/>
        <v>7</v>
      </c>
    </row>
    <row r="126" spans="1:9" x14ac:dyDescent="0.25">
      <c r="A126" t="s">
        <v>218</v>
      </c>
      <c r="B126" t="s">
        <v>14</v>
      </c>
      <c r="C126" t="s">
        <v>649</v>
      </c>
      <c r="D126" t="s">
        <v>728</v>
      </c>
      <c r="E126">
        <v>1</v>
      </c>
      <c r="F126">
        <f>COUNTIFS('1.master_list_7May'!C:C,A126)</f>
        <v>1</v>
      </c>
      <c r="G126" t="str">
        <f>VLOOKUP($A126,'1.master_list_7May'!C:G,5,0)</f>
        <v>No records</v>
      </c>
      <c r="I126" t="str">
        <f t="shared" si="1"/>
        <v>No month</v>
      </c>
    </row>
    <row r="127" spans="1:9" x14ac:dyDescent="0.25">
      <c r="A127" t="s">
        <v>220</v>
      </c>
      <c r="B127" t="s">
        <v>14</v>
      </c>
      <c r="C127" t="s">
        <v>650</v>
      </c>
      <c r="D127" t="s">
        <v>728</v>
      </c>
      <c r="E127">
        <v>1</v>
      </c>
      <c r="F127">
        <f>COUNTIFS('1.master_list_7May'!C:C,A127)</f>
        <v>1</v>
      </c>
      <c r="G127" t="str">
        <f>VLOOKUP($A127,'1.master_list_7May'!C:G,5,0)</f>
        <v>No records</v>
      </c>
      <c r="I127" t="str">
        <f t="shared" si="1"/>
        <v>No month</v>
      </c>
    </row>
    <row r="128" spans="1:9" x14ac:dyDescent="0.25">
      <c r="A128" t="s">
        <v>222</v>
      </c>
      <c r="B128" t="s">
        <v>14</v>
      </c>
      <c r="C128" t="s">
        <v>650</v>
      </c>
      <c r="D128" t="s">
        <v>728</v>
      </c>
      <c r="E128">
        <v>1</v>
      </c>
      <c r="F128">
        <f>COUNTIFS('1.master_list_7May'!C:C,A128)</f>
        <v>1</v>
      </c>
      <c r="G128" t="str">
        <f>VLOOKUP($A128,'1.master_list_7May'!C:G,5,0)</f>
        <v>No records</v>
      </c>
      <c r="I128" t="str">
        <f t="shared" si="1"/>
        <v>No month</v>
      </c>
    </row>
    <row r="129" spans="1:9" x14ac:dyDescent="0.25">
      <c r="A129" t="s">
        <v>224</v>
      </c>
      <c r="B129" t="s">
        <v>14</v>
      </c>
      <c r="C129" t="s">
        <v>649</v>
      </c>
      <c r="D129" t="s">
        <v>728</v>
      </c>
      <c r="E129">
        <v>1</v>
      </c>
      <c r="F129">
        <f>COUNTIFS('1.master_list_7May'!C:C,A129)</f>
        <v>1</v>
      </c>
      <c r="G129" t="str">
        <f>VLOOKUP($A129,'1.master_list_7May'!C:G,5,0)</f>
        <v>Have records but not submitted</v>
      </c>
      <c r="H129" s="2">
        <f>VLOOKUP(A129,'1.master_list_7May'!C:J,8,0)</f>
        <v>45504</v>
      </c>
      <c r="I129">
        <f t="shared" si="1"/>
        <v>7</v>
      </c>
    </row>
    <row r="130" spans="1:9" x14ac:dyDescent="0.25">
      <c r="A130" t="s">
        <v>539</v>
      </c>
      <c r="B130" t="s">
        <v>290</v>
      </c>
      <c r="C130" t="s">
        <v>731</v>
      </c>
      <c r="D130" t="s">
        <v>643</v>
      </c>
      <c r="E130">
        <v>1</v>
      </c>
      <c r="F130">
        <f>COUNTIFS('1.master_list_7May'!C:C,A130)</f>
        <v>10</v>
      </c>
      <c r="G130" t="str">
        <f>VLOOKUP($A130,'1.master_list_7May'!C:G,5,0)</f>
        <v>Have records but not submitted</v>
      </c>
      <c r="H130" s="2">
        <f>VLOOKUP(A130,'1.master_list_7May'!C:J,8,0)</f>
        <v>45504</v>
      </c>
      <c r="I130">
        <f t="shared" si="1"/>
        <v>7</v>
      </c>
    </row>
    <row r="131" spans="1:9" x14ac:dyDescent="0.25">
      <c r="A131" t="s">
        <v>226</v>
      </c>
      <c r="B131" t="s">
        <v>14</v>
      </c>
      <c r="C131" t="s">
        <v>654</v>
      </c>
      <c r="D131" t="s">
        <v>633</v>
      </c>
      <c r="E131">
        <v>1</v>
      </c>
      <c r="F131">
        <f>COUNTIFS('1.master_list_7May'!C:C,A131)</f>
        <v>1</v>
      </c>
      <c r="G131" t="str">
        <f>VLOOKUP($A131,'1.master_list_7May'!C:G,5,0)</f>
        <v>No records</v>
      </c>
      <c r="I131" t="str">
        <f t="shared" ref="I131:I161" si="2">IF(H131=0,"No month", MONTH(H131))</f>
        <v>No month</v>
      </c>
    </row>
    <row r="132" spans="1:9" x14ac:dyDescent="0.25">
      <c r="A132" t="s">
        <v>228</v>
      </c>
      <c r="B132" t="s">
        <v>14</v>
      </c>
      <c r="C132" t="s">
        <v>626</v>
      </c>
      <c r="D132" t="s">
        <v>643</v>
      </c>
      <c r="E132">
        <v>1</v>
      </c>
      <c r="F132">
        <f>COUNTIFS('1.master_list_7May'!C:C,A132)</f>
        <v>1</v>
      </c>
      <c r="G132" t="str">
        <f>VLOOKUP($A132,'1.master_list_7May'!C:G,5,0)</f>
        <v>No records</v>
      </c>
      <c r="I132" t="str">
        <f t="shared" si="2"/>
        <v>No month</v>
      </c>
    </row>
    <row r="133" spans="1:9" x14ac:dyDescent="0.25">
      <c r="A133" t="s">
        <v>230</v>
      </c>
      <c r="B133" t="s">
        <v>14</v>
      </c>
      <c r="C133" t="s">
        <v>690</v>
      </c>
      <c r="D133" t="s">
        <v>627</v>
      </c>
      <c r="E133">
        <v>1</v>
      </c>
      <c r="F133">
        <f>COUNTIFS('1.master_list_7May'!C:C,A133)</f>
        <v>1</v>
      </c>
      <c r="G133" t="str">
        <f>VLOOKUP($A133,'1.master_list_7May'!C:G,5,0)</f>
        <v>Have records but not submitted</v>
      </c>
      <c r="H133" s="2">
        <f>VLOOKUP(A133,'1.master_list_7May'!C:J,8,0)</f>
        <v>45504</v>
      </c>
      <c r="I133">
        <f t="shared" si="2"/>
        <v>7</v>
      </c>
    </row>
    <row r="134" spans="1:9" x14ac:dyDescent="0.25">
      <c r="A134" t="s">
        <v>232</v>
      </c>
      <c r="B134" t="s">
        <v>14</v>
      </c>
      <c r="C134" t="s">
        <v>731</v>
      </c>
      <c r="D134" t="s">
        <v>643</v>
      </c>
      <c r="E134">
        <v>1</v>
      </c>
      <c r="F134">
        <f>COUNTIFS('1.master_list_7May'!C:C,A134)</f>
        <v>1</v>
      </c>
      <c r="G134" t="str">
        <f>VLOOKUP($A134,'1.master_list_7May'!C:G,5,0)</f>
        <v>No records</v>
      </c>
      <c r="I134" t="str">
        <f t="shared" si="2"/>
        <v>No month</v>
      </c>
    </row>
    <row r="135" spans="1:9" x14ac:dyDescent="0.25">
      <c r="A135" t="s">
        <v>234</v>
      </c>
      <c r="B135" t="s">
        <v>14</v>
      </c>
      <c r="C135" t="s">
        <v>649</v>
      </c>
      <c r="D135" t="s">
        <v>728</v>
      </c>
      <c r="E135">
        <v>1</v>
      </c>
      <c r="F135">
        <f>COUNTIFS('1.master_list_7May'!C:C,A135)</f>
        <v>1</v>
      </c>
      <c r="G135" t="str">
        <f>VLOOKUP($A135,'1.master_list_7May'!C:G,5,0)</f>
        <v>No records</v>
      </c>
      <c r="I135" t="str">
        <f t="shared" si="2"/>
        <v>No month</v>
      </c>
    </row>
    <row r="136" spans="1:9" x14ac:dyDescent="0.25">
      <c r="A136" t="s">
        <v>236</v>
      </c>
      <c r="B136" t="s">
        <v>14</v>
      </c>
      <c r="C136" t="s">
        <v>653</v>
      </c>
      <c r="D136" t="s">
        <v>633</v>
      </c>
      <c r="E136">
        <v>1</v>
      </c>
      <c r="F136">
        <f>COUNTIFS('1.master_list_7May'!C:C,A136)</f>
        <v>1</v>
      </c>
      <c r="G136" t="str">
        <f>VLOOKUP($A136,'1.master_list_7May'!C:G,5,0)</f>
        <v>No records</v>
      </c>
      <c r="I136" t="str">
        <f t="shared" si="2"/>
        <v>No month</v>
      </c>
    </row>
    <row r="137" spans="1:9" x14ac:dyDescent="0.25">
      <c r="A137" t="s">
        <v>238</v>
      </c>
      <c r="B137" t="s">
        <v>14</v>
      </c>
      <c r="C137" t="s">
        <v>731</v>
      </c>
      <c r="D137" t="s">
        <v>643</v>
      </c>
      <c r="E137">
        <v>1</v>
      </c>
      <c r="F137">
        <f>COUNTIFS('1.master_list_7May'!C:C,A137)</f>
        <v>1</v>
      </c>
      <c r="G137" t="str">
        <f>VLOOKUP($A137,'1.master_list_7May'!C:G,5,0)</f>
        <v>Have records but not submitted</v>
      </c>
      <c r="H137" s="2">
        <f>VLOOKUP(A137,'1.master_list_7May'!C:J,8,0)</f>
        <v>45504</v>
      </c>
      <c r="I137">
        <f t="shared" si="2"/>
        <v>7</v>
      </c>
    </row>
    <row r="138" spans="1:9" x14ac:dyDescent="0.25">
      <c r="A138" t="s">
        <v>240</v>
      </c>
      <c r="B138" t="s">
        <v>14</v>
      </c>
      <c r="C138" t="s">
        <v>689</v>
      </c>
      <c r="D138" t="s">
        <v>627</v>
      </c>
      <c r="E138">
        <v>1</v>
      </c>
      <c r="F138">
        <f>COUNTIFS('1.master_list_7May'!C:C,A138)</f>
        <v>1</v>
      </c>
      <c r="G138" t="str">
        <f>VLOOKUP($A138,'1.master_list_7May'!C:G,5,0)</f>
        <v>Have records but not submitted</v>
      </c>
      <c r="H138" s="2">
        <f>VLOOKUP(A138,'1.master_list_7May'!C:J,8,0)</f>
        <v>45504</v>
      </c>
      <c r="I138">
        <f t="shared" si="2"/>
        <v>7</v>
      </c>
    </row>
    <row r="139" spans="1:9" x14ac:dyDescent="0.25">
      <c r="A139" t="s">
        <v>242</v>
      </c>
      <c r="B139" t="s">
        <v>14</v>
      </c>
      <c r="C139" t="s">
        <v>690</v>
      </c>
      <c r="D139" t="s">
        <v>627</v>
      </c>
      <c r="E139">
        <v>1</v>
      </c>
      <c r="F139">
        <f>COUNTIFS('1.master_list_7May'!C:C,A139)</f>
        <v>1</v>
      </c>
      <c r="G139" t="str">
        <f>VLOOKUP($A139,'1.master_list_7May'!C:G,5,0)</f>
        <v>Have records and have submitted</v>
      </c>
      <c r="I139" t="str">
        <f t="shared" si="2"/>
        <v>No month</v>
      </c>
    </row>
    <row r="140" spans="1:9" x14ac:dyDescent="0.25">
      <c r="A140" s="3" t="s">
        <v>244</v>
      </c>
      <c r="B140" t="s">
        <v>14</v>
      </c>
      <c r="C140" t="s">
        <v>626</v>
      </c>
      <c r="D140" t="s">
        <v>643</v>
      </c>
      <c r="E140">
        <v>1</v>
      </c>
      <c r="F140">
        <f>COUNTIFS('1.master_list_7May'!C:C,A140)</f>
        <v>1</v>
      </c>
      <c r="G140" t="str">
        <f>VLOOKUP($A140,'1.master_list_7May'!C:G,5,0)</f>
        <v>Have records and have submitted</v>
      </c>
      <c r="I140" t="str">
        <f t="shared" si="2"/>
        <v>No month</v>
      </c>
    </row>
    <row r="141" spans="1:9" x14ac:dyDescent="0.25">
      <c r="A141" t="s">
        <v>246</v>
      </c>
      <c r="B141" t="s">
        <v>14</v>
      </c>
      <c r="C141" t="s">
        <v>648</v>
      </c>
      <c r="D141" t="s">
        <v>729</v>
      </c>
      <c r="E141">
        <v>1</v>
      </c>
      <c r="F141">
        <f>COUNTIFS('1.master_list_7May'!C:C,A141)</f>
        <v>1</v>
      </c>
      <c r="G141" t="str">
        <f>VLOOKUP($A141,'1.master_list_7May'!C:G,5,0)</f>
        <v>Have records and have submitted</v>
      </c>
      <c r="I141" t="str">
        <f t="shared" si="2"/>
        <v>No month</v>
      </c>
    </row>
    <row r="142" spans="1:9" x14ac:dyDescent="0.25">
      <c r="A142" t="s">
        <v>248</v>
      </c>
      <c r="B142" t="s">
        <v>14</v>
      </c>
      <c r="C142" t="s">
        <v>731</v>
      </c>
      <c r="D142" t="s">
        <v>643</v>
      </c>
      <c r="E142">
        <v>1</v>
      </c>
      <c r="F142">
        <f>COUNTIFS('1.master_list_7May'!C:C,A142)</f>
        <v>1</v>
      </c>
      <c r="G142" t="str">
        <f>VLOOKUP($A142,'1.master_list_7May'!C:G,5,0)</f>
        <v>Have records but not submitted</v>
      </c>
      <c r="H142" s="2">
        <f>VLOOKUP(A142,'1.master_list_7May'!C:J,8,0)</f>
        <v>45504</v>
      </c>
      <c r="I142">
        <f t="shared" si="2"/>
        <v>7</v>
      </c>
    </row>
    <row r="143" spans="1:9" x14ac:dyDescent="0.25">
      <c r="A143" t="s">
        <v>250</v>
      </c>
      <c r="B143" t="s">
        <v>14</v>
      </c>
      <c r="C143" t="s">
        <v>648</v>
      </c>
      <c r="D143" t="s">
        <v>729</v>
      </c>
      <c r="E143">
        <v>1</v>
      </c>
      <c r="F143">
        <f>COUNTIFS('1.master_list_7May'!C:C,A143)</f>
        <v>1</v>
      </c>
      <c r="G143" t="str">
        <f>VLOOKUP($A143,'1.master_list_7May'!C:G,5,0)</f>
        <v>No records</v>
      </c>
      <c r="I143" t="str">
        <f t="shared" si="2"/>
        <v>No month</v>
      </c>
    </row>
    <row r="144" spans="1:9" x14ac:dyDescent="0.25">
      <c r="A144" t="s">
        <v>252</v>
      </c>
      <c r="B144" t="s">
        <v>14</v>
      </c>
      <c r="C144" t="s">
        <v>731</v>
      </c>
      <c r="D144" t="s">
        <v>643</v>
      </c>
      <c r="E144">
        <v>1</v>
      </c>
      <c r="F144">
        <f>COUNTIFS('1.master_list_7May'!C:C,A144)</f>
        <v>1</v>
      </c>
      <c r="G144" t="str">
        <f>VLOOKUP($A144,'1.master_list_7May'!C:G,5,0)</f>
        <v>No records</v>
      </c>
      <c r="I144" t="str">
        <f t="shared" si="2"/>
        <v>No month</v>
      </c>
    </row>
    <row r="145" spans="1:9" x14ac:dyDescent="0.25">
      <c r="A145" t="s">
        <v>254</v>
      </c>
      <c r="B145" t="s">
        <v>14</v>
      </c>
      <c r="C145" t="s">
        <v>653</v>
      </c>
      <c r="D145" t="s">
        <v>633</v>
      </c>
      <c r="E145">
        <v>1</v>
      </c>
      <c r="F145">
        <f>COUNTIFS('1.master_list_7May'!C:C,A145)</f>
        <v>1</v>
      </c>
      <c r="G145" t="str">
        <f>VLOOKUP($A145,'1.master_list_7May'!C:G,5,0)</f>
        <v>No records</v>
      </c>
      <c r="I145" t="str">
        <f t="shared" si="2"/>
        <v>No month</v>
      </c>
    </row>
    <row r="146" spans="1:9" x14ac:dyDescent="0.25">
      <c r="A146" t="s">
        <v>256</v>
      </c>
      <c r="B146" t="s">
        <v>14</v>
      </c>
      <c r="C146" t="s">
        <v>644</v>
      </c>
      <c r="D146" t="s">
        <v>643</v>
      </c>
      <c r="E146">
        <v>1</v>
      </c>
      <c r="F146">
        <f>COUNTIFS('1.master_list_7May'!C:C,A146)</f>
        <v>1</v>
      </c>
      <c r="G146" t="str">
        <f>VLOOKUP($A146,'1.master_list_7May'!C:G,5,0)</f>
        <v>Have records but not submitted</v>
      </c>
      <c r="H146" s="2">
        <f>VLOOKUP(A146,'1.master_list_7May'!C:J,8,0)</f>
        <v>45504</v>
      </c>
      <c r="I146">
        <f t="shared" si="2"/>
        <v>7</v>
      </c>
    </row>
    <row r="147" spans="1:9" x14ac:dyDescent="0.25">
      <c r="A147" t="s">
        <v>258</v>
      </c>
      <c r="B147" t="s">
        <v>14</v>
      </c>
      <c r="C147" t="s">
        <v>626</v>
      </c>
      <c r="D147" t="s">
        <v>643</v>
      </c>
      <c r="E147">
        <v>1</v>
      </c>
      <c r="F147">
        <f>COUNTIFS('1.master_list_7May'!C:C,A147)</f>
        <v>1</v>
      </c>
      <c r="G147" t="str">
        <f>VLOOKUP($A147,'1.master_list_7May'!C:G,5,0)</f>
        <v>No records</v>
      </c>
      <c r="I147" t="str">
        <f t="shared" si="2"/>
        <v>No month</v>
      </c>
    </row>
    <row r="148" spans="1:9" x14ac:dyDescent="0.25">
      <c r="A148" s="3" t="s">
        <v>260</v>
      </c>
      <c r="B148" t="s">
        <v>14</v>
      </c>
      <c r="C148" t="s">
        <v>646</v>
      </c>
      <c r="D148" t="s">
        <v>643</v>
      </c>
      <c r="E148">
        <v>1</v>
      </c>
      <c r="F148">
        <f>COUNTIFS('1.master_list_7May'!C:C,A148)</f>
        <v>1</v>
      </c>
      <c r="G148" t="str">
        <f>VLOOKUP($A148,'1.master_list_7May'!C:G,5,0)</f>
        <v>Have records and have submitted</v>
      </c>
      <c r="I148" t="str">
        <f t="shared" si="2"/>
        <v>No month</v>
      </c>
    </row>
    <row r="149" spans="1:9" x14ac:dyDescent="0.25">
      <c r="A149" t="s">
        <v>262</v>
      </c>
      <c r="B149" t="s">
        <v>14</v>
      </c>
      <c r="C149" t="s">
        <v>656</v>
      </c>
      <c r="D149" t="s">
        <v>633</v>
      </c>
      <c r="E149">
        <v>1</v>
      </c>
      <c r="F149">
        <f>COUNTIFS('1.master_list_7May'!C:C,A149)</f>
        <v>1</v>
      </c>
      <c r="G149" t="str">
        <f>VLOOKUP($A149,'1.master_list_7May'!C:G,5,0)</f>
        <v>No records</v>
      </c>
      <c r="I149" t="str">
        <f t="shared" si="2"/>
        <v>No month</v>
      </c>
    </row>
    <row r="150" spans="1:9" x14ac:dyDescent="0.25">
      <c r="A150" t="s">
        <v>264</v>
      </c>
      <c r="B150" t="s">
        <v>14</v>
      </c>
      <c r="C150" t="s">
        <v>625</v>
      </c>
      <c r="D150" t="s">
        <v>625</v>
      </c>
      <c r="E150">
        <v>1</v>
      </c>
      <c r="F150">
        <f>COUNTIFS('1.master_list_7May'!C:C,A150)</f>
        <v>1</v>
      </c>
      <c r="G150" t="str">
        <f>VLOOKUP($A150,'1.master_list_7May'!C:G,5,0)</f>
        <v>No records</v>
      </c>
      <c r="I150" t="str">
        <f t="shared" si="2"/>
        <v>No month</v>
      </c>
    </row>
    <row r="151" spans="1:9" x14ac:dyDescent="0.25">
      <c r="A151" t="s">
        <v>266</v>
      </c>
      <c r="B151" t="s">
        <v>14</v>
      </c>
      <c r="C151" t="s">
        <v>644</v>
      </c>
      <c r="D151" t="s">
        <v>643</v>
      </c>
      <c r="E151">
        <v>1</v>
      </c>
      <c r="F151">
        <f>COUNTIFS('1.master_list_7May'!C:C,A151)</f>
        <v>1</v>
      </c>
      <c r="G151" t="str">
        <f>VLOOKUP($A151,'1.master_list_7May'!C:G,5,0)</f>
        <v>Have records but not submitted</v>
      </c>
      <c r="H151" s="2">
        <f>VLOOKUP(A151,'1.master_list_7May'!C:J,8,0)</f>
        <v>45504</v>
      </c>
      <c r="I151">
        <f t="shared" si="2"/>
        <v>7</v>
      </c>
    </row>
    <row r="152" spans="1:9" x14ac:dyDescent="0.25">
      <c r="A152" t="s">
        <v>268</v>
      </c>
      <c r="B152" t="s">
        <v>14</v>
      </c>
      <c r="C152" t="s">
        <v>653</v>
      </c>
      <c r="D152" t="s">
        <v>629</v>
      </c>
      <c r="E152">
        <v>1</v>
      </c>
      <c r="F152">
        <f>COUNTIFS('1.master_list_7May'!C:C,A152)</f>
        <v>1</v>
      </c>
      <c r="G152" t="str">
        <f>VLOOKUP($A152,'1.master_list_7May'!C:G,5,0)</f>
        <v>Have records but not submitted</v>
      </c>
      <c r="H152" s="2">
        <f>VLOOKUP(A152,'1.master_list_7May'!C:J,8,0)</f>
        <v>45504</v>
      </c>
      <c r="I152">
        <f t="shared" si="2"/>
        <v>7</v>
      </c>
    </row>
    <row r="153" spans="1:9" x14ac:dyDescent="0.25">
      <c r="A153" t="s">
        <v>270</v>
      </c>
      <c r="B153" t="s">
        <v>14</v>
      </c>
      <c r="C153" t="s">
        <v>730</v>
      </c>
      <c r="D153" t="s">
        <v>633</v>
      </c>
      <c r="E153">
        <v>1</v>
      </c>
      <c r="F153">
        <f>COUNTIFS('1.master_list_7May'!C:C,A153)</f>
        <v>1</v>
      </c>
      <c r="G153" t="str">
        <f>VLOOKUP($A153,'1.master_list_7May'!C:G,5,0)</f>
        <v>No records</v>
      </c>
      <c r="I153" t="str">
        <f t="shared" si="2"/>
        <v>No month</v>
      </c>
    </row>
    <row r="154" spans="1:9" x14ac:dyDescent="0.25">
      <c r="A154" s="3" t="s">
        <v>272</v>
      </c>
      <c r="B154" t="s">
        <v>14</v>
      </c>
      <c r="C154" t="s">
        <v>730</v>
      </c>
      <c r="D154" t="s">
        <v>629</v>
      </c>
      <c r="E154">
        <v>1</v>
      </c>
      <c r="F154">
        <f>COUNTIFS('1.master_list_7May'!C:C,A154)</f>
        <v>1</v>
      </c>
      <c r="G154" t="str">
        <f>VLOOKUP($A154,'1.master_list_7May'!C:G,5,0)</f>
        <v>Have records and have submitted</v>
      </c>
      <c r="I154" t="str">
        <f t="shared" si="2"/>
        <v>No month</v>
      </c>
    </row>
    <row r="155" spans="1:9" x14ac:dyDescent="0.25">
      <c r="A155" t="s">
        <v>274</v>
      </c>
      <c r="B155" t="s">
        <v>14</v>
      </c>
      <c r="C155" t="s">
        <v>626</v>
      </c>
      <c r="D155" t="s">
        <v>643</v>
      </c>
      <c r="E155">
        <v>1</v>
      </c>
      <c r="F155">
        <f>COUNTIFS('1.master_list_7May'!C:C,A155)</f>
        <v>1</v>
      </c>
      <c r="G155" t="str">
        <f>VLOOKUP($A155,'1.master_list_7May'!C:G,5,0)</f>
        <v>No records</v>
      </c>
      <c r="I155" t="str">
        <f t="shared" si="2"/>
        <v>No month</v>
      </c>
    </row>
    <row r="156" spans="1:9" x14ac:dyDescent="0.25">
      <c r="A156" s="3" t="s">
        <v>276</v>
      </c>
      <c r="B156" t="s">
        <v>14</v>
      </c>
      <c r="C156" t="s">
        <v>649</v>
      </c>
      <c r="D156" t="s">
        <v>629</v>
      </c>
      <c r="E156">
        <v>1</v>
      </c>
      <c r="F156">
        <f>COUNTIFS('1.master_list_7May'!C:C,A156)</f>
        <v>1</v>
      </c>
      <c r="G156" t="str">
        <f>VLOOKUP($A156,'1.master_list_7May'!C:G,5,0)</f>
        <v>Have records and have submitted</v>
      </c>
      <c r="I156" t="str">
        <f t="shared" si="2"/>
        <v>No month</v>
      </c>
    </row>
    <row r="157" spans="1:9" x14ac:dyDescent="0.25">
      <c r="A157" t="s">
        <v>278</v>
      </c>
      <c r="B157" t="s">
        <v>14</v>
      </c>
      <c r="C157" t="s">
        <v>653</v>
      </c>
      <c r="D157" t="s">
        <v>633</v>
      </c>
      <c r="E157">
        <v>1</v>
      </c>
      <c r="F157">
        <f>COUNTIFS('1.master_list_7May'!C:C,A157)</f>
        <v>1</v>
      </c>
      <c r="G157" t="str">
        <f>VLOOKUP($A157,'1.master_list_7May'!C:G,5,0)</f>
        <v>No records</v>
      </c>
      <c r="I157" t="str">
        <f t="shared" si="2"/>
        <v>No month</v>
      </c>
    </row>
    <row r="158" spans="1:9" x14ac:dyDescent="0.25">
      <c r="A158" t="s">
        <v>280</v>
      </c>
      <c r="B158" t="s">
        <v>14</v>
      </c>
      <c r="C158" t="s">
        <v>730</v>
      </c>
      <c r="D158" t="s">
        <v>633</v>
      </c>
      <c r="E158">
        <v>1</v>
      </c>
      <c r="F158">
        <f>COUNTIFS('1.master_list_7May'!C:C,A158)</f>
        <v>1</v>
      </c>
      <c r="G158" t="str">
        <f>VLOOKUP($A158,'1.master_list_7May'!C:G,5,0)</f>
        <v>Have records but not submitted</v>
      </c>
      <c r="H158" s="2">
        <f>VLOOKUP(A158,'1.master_list_7May'!C:J,8,0)</f>
        <v>45504</v>
      </c>
      <c r="I158">
        <f t="shared" si="2"/>
        <v>7</v>
      </c>
    </row>
    <row r="159" spans="1:9" x14ac:dyDescent="0.25">
      <c r="A159" t="s">
        <v>282</v>
      </c>
      <c r="B159" t="s">
        <v>14</v>
      </c>
      <c r="C159" t="s">
        <v>689</v>
      </c>
      <c r="D159" t="s">
        <v>627</v>
      </c>
      <c r="E159">
        <v>1</v>
      </c>
      <c r="F159">
        <f>COUNTIFS('1.master_list_7May'!C:C,A159)</f>
        <v>1</v>
      </c>
      <c r="G159" t="str">
        <f>VLOOKUP($A159,'1.master_list_7May'!C:G,5,0)</f>
        <v>No records</v>
      </c>
      <c r="I159" t="str">
        <f t="shared" si="2"/>
        <v>No month</v>
      </c>
    </row>
    <row r="160" spans="1:9" x14ac:dyDescent="0.25">
      <c r="A160" t="s">
        <v>284</v>
      </c>
      <c r="B160" t="s">
        <v>14</v>
      </c>
      <c r="C160" t="s">
        <v>731</v>
      </c>
      <c r="D160" t="s">
        <v>643</v>
      </c>
      <c r="E160">
        <v>1</v>
      </c>
      <c r="F160">
        <f>COUNTIFS('1.master_list_7May'!C:C,A160)</f>
        <v>1</v>
      </c>
      <c r="G160" t="str">
        <f>VLOOKUP($A160,'1.master_list_7May'!C:G,5,0)</f>
        <v>No records</v>
      </c>
      <c r="I160" t="str">
        <f t="shared" si="2"/>
        <v>No month</v>
      </c>
    </row>
    <row r="161" spans="1:9" x14ac:dyDescent="0.25">
      <c r="A161" t="s">
        <v>286</v>
      </c>
      <c r="B161" t="s">
        <v>14</v>
      </c>
      <c r="C161" t="s">
        <v>625</v>
      </c>
      <c r="D161" t="s">
        <v>625</v>
      </c>
      <c r="E161">
        <v>1</v>
      </c>
      <c r="F161">
        <f>COUNTIFS('1.master_list_7May'!C:C,A161)</f>
        <v>1</v>
      </c>
      <c r="G161" t="str">
        <f>VLOOKUP($A161,'1.master_list_7May'!C:G,5,0)</f>
        <v>Have records and have submitted</v>
      </c>
      <c r="I161" t="str">
        <f t="shared" si="2"/>
        <v>No month</v>
      </c>
    </row>
    <row r="162" spans="1:9" x14ac:dyDescent="0.25">
      <c r="A162" t="s">
        <v>726</v>
      </c>
      <c r="B162" t="s">
        <v>14</v>
      </c>
      <c r="C162" t="s">
        <v>644</v>
      </c>
      <c r="D162" t="s">
        <v>643</v>
      </c>
    </row>
  </sheetData>
  <autoFilter ref="A1:J161" xr:uid="{920C2933-4D56-4F2B-9560-4B50258ABF67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E168-7F7D-458C-B7F6-63CF27EAB9C1}">
  <sheetPr filterMode="1"/>
  <dimension ref="A1:P40"/>
  <sheetViews>
    <sheetView tabSelected="1" topLeftCell="B1" zoomScale="85" zoomScaleNormal="85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K2" sqref="K2:K40"/>
    </sheetView>
  </sheetViews>
  <sheetFormatPr defaultRowHeight="15" x14ac:dyDescent="0.25"/>
  <cols>
    <col min="2" max="2" width="48.42578125" customWidth="1"/>
    <col min="3" max="3" width="15.7109375" customWidth="1"/>
    <col min="4" max="4" width="14.42578125" customWidth="1"/>
    <col min="11" max="11" width="66.42578125" customWidth="1"/>
    <col min="12" max="12" width="14.140625" customWidth="1"/>
    <col min="13" max="13" width="17.5703125" bestFit="1" customWidth="1"/>
    <col min="14" max="14" width="21.85546875" bestFit="1" customWidth="1"/>
    <col min="15" max="15" width="31.140625" bestFit="1" customWidth="1"/>
    <col min="16" max="16" width="10.7109375" bestFit="1" customWidth="1"/>
  </cols>
  <sheetData>
    <row r="1" spans="1:16" x14ac:dyDescent="0.25"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615</v>
      </c>
      <c r="K1" t="s">
        <v>610</v>
      </c>
      <c r="L1" t="s">
        <v>612</v>
      </c>
      <c r="M1" t="s">
        <v>614</v>
      </c>
      <c r="N1" t="s">
        <v>628</v>
      </c>
      <c r="O1" t="s">
        <v>5</v>
      </c>
      <c r="P1" t="s">
        <v>665</v>
      </c>
    </row>
    <row r="2" spans="1:16" x14ac:dyDescent="0.25">
      <c r="A2">
        <v>0</v>
      </c>
      <c r="B2" t="s">
        <v>577</v>
      </c>
      <c r="C2">
        <v>35</v>
      </c>
      <c r="D2">
        <v>101572</v>
      </c>
      <c r="E2">
        <v>13659</v>
      </c>
      <c r="F2">
        <v>0.08</v>
      </c>
      <c r="G2">
        <v>0.82499999999999996</v>
      </c>
      <c r="H2">
        <v>9.4E-2</v>
      </c>
      <c r="I2">
        <v>0.99970000000000003</v>
      </c>
      <c r="J2" t="s">
        <v>616</v>
      </c>
      <c r="K2" t="s">
        <v>194</v>
      </c>
      <c r="L2" t="s">
        <v>612</v>
      </c>
      <c r="M2" t="str">
        <f>VLOOKUP(K2,'2.masterfirm'!A:D,3,0)</f>
        <v>Property</v>
      </c>
      <c r="N2" t="str">
        <f>VLOOKUP(K2,'2.masterfirm'!A:D,4,0)</f>
        <v>Real Estate</v>
      </c>
      <c r="O2" t="str">
        <f>IFERROR(VLOOKUP(K2,'1.master_list_7May'!C:K,9,0),"")</f>
        <v>Have records and have submitted</v>
      </c>
      <c r="P2" s="2" t="s">
        <v>666</v>
      </c>
    </row>
    <row r="3" spans="1:16" x14ac:dyDescent="0.25">
      <c r="A3">
        <v>1</v>
      </c>
      <c r="B3" t="s">
        <v>578</v>
      </c>
      <c r="C3">
        <v>51</v>
      </c>
      <c r="D3">
        <v>95807</v>
      </c>
      <c r="E3">
        <v>13761</v>
      </c>
      <c r="F3">
        <v>7.8E-2</v>
      </c>
      <c r="G3">
        <v>0.84499999999999997</v>
      </c>
      <c r="H3">
        <v>7.6999999999999999E-2</v>
      </c>
      <c r="I3">
        <v>-0.94040000000000001</v>
      </c>
      <c r="J3" t="s">
        <v>616</v>
      </c>
      <c r="K3" t="s">
        <v>74</v>
      </c>
      <c r="L3" t="s">
        <v>612</v>
      </c>
      <c r="M3" t="str">
        <f>VLOOKUP(K3,'2.masterfirm'!A:D,3,0)</f>
        <v>Foreign Bank</v>
      </c>
      <c r="N3" t="str">
        <f>VLOOKUP(K3,'2.masterfirm'!A:D,4,0)</f>
        <v>Financial Sector</v>
      </c>
      <c r="O3" t="str">
        <f>IFERROR(VLOOKUP(K3,'1.master_list_7May'!C:K,9,0),"")</f>
        <v>Have records but not submitted</v>
      </c>
      <c r="P3" s="2" t="s">
        <v>666</v>
      </c>
    </row>
    <row r="4" spans="1:16" x14ac:dyDescent="0.25">
      <c r="A4">
        <v>2</v>
      </c>
      <c r="B4" t="s">
        <v>579</v>
      </c>
      <c r="C4">
        <v>23</v>
      </c>
      <c r="D4">
        <v>60167</v>
      </c>
      <c r="E4">
        <v>8354</v>
      </c>
      <c r="F4">
        <v>0.06</v>
      </c>
      <c r="G4">
        <v>0.84699999999999998</v>
      </c>
      <c r="H4">
        <v>9.2999999999999999E-2</v>
      </c>
      <c r="I4">
        <v>0.99980000000000002</v>
      </c>
      <c r="J4" t="s">
        <v>616</v>
      </c>
      <c r="K4" t="s">
        <v>21</v>
      </c>
      <c r="L4" t="s">
        <v>612</v>
      </c>
      <c r="M4" t="str">
        <f>VLOOKUP(K4,'2.masterfirm'!A:D,3,0)</f>
        <v>Insurance</v>
      </c>
      <c r="N4" t="str">
        <f>VLOOKUP(K4,'2.masterfirm'!A:D,4,0)</f>
        <v>Financial Sector</v>
      </c>
      <c r="O4" t="str">
        <f>IFERROR(VLOOKUP(K4,'1.master_list_7May'!C:K,9,0),"")</f>
        <v>Have records but not submitted</v>
      </c>
      <c r="P4" s="2" t="s">
        <v>666</v>
      </c>
    </row>
    <row r="5" spans="1:16" x14ac:dyDescent="0.25">
      <c r="A5">
        <v>3</v>
      </c>
      <c r="B5" t="s">
        <v>617</v>
      </c>
      <c r="J5" t="s">
        <v>618</v>
      </c>
      <c r="K5" t="s">
        <v>307</v>
      </c>
      <c r="L5" t="s">
        <v>612</v>
      </c>
      <c r="M5" t="str">
        <f>VLOOKUP(K5,'2.masterfirm'!A:D,3,0)</f>
        <v>Australian/Nz Bank</v>
      </c>
      <c r="N5" t="str">
        <f>VLOOKUP(K5,'2.masterfirm'!A:D,4,0)</f>
        <v>Financial Sector</v>
      </c>
      <c r="O5" t="str">
        <f>IFERROR(VLOOKUP(K5,'1.master_list_7May'!C:K,9,0),"")</f>
        <v>Have records but not submitted</v>
      </c>
      <c r="P5" s="2" t="s">
        <v>666</v>
      </c>
    </row>
    <row r="6" spans="1:16" x14ac:dyDescent="0.25">
      <c r="A6">
        <v>4</v>
      </c>
      <c r="B6" t="s">
        <v>619</v>
      </c>
      <c r="J6" t="s">
        <v>618</v>
      </c>
      <c r="K6" t="s">
        <v>33</v>
      </c>
      <c r="L6" t="s">
        <v>612</v>
      </c>
      <c r="M6" t="str">
        <f>VLOOKUP(K6,'2.masterfirm'!A:D,3,0)</f>
        <v>Australian/Nz Bank</v>
      </c>
      <c r="N6" t="str">
        <f>VLOOKUP(K6,'2.masterfirm'!A:D,4,0)</f>
        <v>Financial Sector</v>
      </c>
      <c r="O6" t="str">
        <f>IFERROR(VLOOKUP(K6,'1.master_list_7May'!C:K,9,0),"")</f>
        <v>No records</v>
      </c>
      <c r="P6" s="2" t="s">
        <v>666</v>
      </c>
    </row>
    <row r="7" spans="1:16" x14ac:dyDescent="0.25">
      <c r="A7">
        <v>5</v>
      </c>
      <c r="B7" t="s">
        <v>580</v>
      </c>
      <c r="C7">
        <v>22</v>
      </c>
      <c r="D7">
        <v>53361</v>
      </c>
      <c r="E7">
        <v>6502</v>
      </c>
      <c r="F7">
        <v>0.08</v>
      </c>
      <c r="G7">
        <v>0.85699999999999998</v>
      </c>
      <c r="H7">
        <v>6.3E-2</v>
      </c>
      <c r="I7">
        <v>-0.99829999999999997</v>
      </c>
      <c r="J7" t="s">
        <v>616</v>
      </c>
      <c r="K7" t="s">
        <v>45</v>
      </c>
      <c r="L7" t="s">
        <v>612</v>
      </c>
      <c r="M7" t="str">
        <f>VLOOKUP(K7,'2.masterfirm'!A:D,3,0)</f>
        <v>Foreign Bank</v>
      </c>
      <c r="N7" t="str">
        <f>VLOOKUP(K7,'2.masterfirm'!A:D,4,0)</f>
        <v>Financial Sector</v>
      </c>
      <c r="O7" t="str">
        <f>IFERROR(VLOOKUP(K7,'1.master_list_7May'!C:K,9,0),"")</f>
        <v>Have records but not submitted</v>
      </c>
      <c r="P7" s="2" t="s">
        <v>666</v>
      </c>
    </row>
    <row r="8" spans="1:16" x14ac:dyDescent="0.25">
      <c r="A8">
        <v>6</v>
      </c>
      <c r="B8" t="s">
        <v>581</v>
      </c>
      <c r="C8">
        <v>22</v>
      </c>
      <c r="D8">
        <v>51228</v>
      </c>
      <c r="E8">
        <v>6245</v>
      </c>
      <c r="F8">
        <v>7.6999999999999999E-2</v>
      </c>
      <c r="G8">
        <v>0.86</v>
      </c>
      <c r="H8">
        <v>6.3E-2</v>
      </c>
      <c r="I8">
        <v>-0.99680000000000002</v>
      </c>
      <c r="J8" t="s">
        <v>616</v>
      </c>
      <c r="K8" t="s">
        <v>45</v>
      </c>
      <c r="L8" t="s">
        <v>612</v>
      </c>
      <c r="M8" t="str">
        <f>VLOOKUP(K8,'2.masterfirm'!A:D,3,0)</f>
        <v>Foreign Bank</v>
      </c>
      <c r="N8" t="str">
        <f>VLOOKUP(K8,'2.masterfirm'!A:D,4,0)</f>
        <v>Financial Sector</v>
      </c>
      <c r="O8" t="str">
        <f>IFERROR(VLOOKUP(K8,'1.master_list_7May'!C:K,9,0),"")</f>
        <v>Have records but not submitted</v>
      </c>
      <c r="P8" s="2" t="s">
        <v>666</v>
      </c>
    </row>
    <row r="9" spans="1:16" x14ac:dyDescent="0.25">
      <c r="A9">
        <v>7</v>
      </c>
      <c r="B9" t="s">
        <v>582</v>
      </c>
      <c r="C9">
        <v>59</v>
      </c>
      <c r="D9">
        <v>208049</v>
      </c>
      <c r="E9">
        <v>27829</v>
      </c>
      <c r="F9">
        <v>8.2000000000000003E-2</v>
      </c>
      <c r="G9">
        <v>0.85299999999999998</v>
      </c>
      <c r="H9">
        <v>6.5000000000000002E-2</v>
      </c>
      <c r="I9">
        <v>-0.99990000000000001</v>
      </c>
      <c r="J9" t="s">
        <v>616</v>
      </c>
      <c r="K9" t="s">
        <v>323</v>
      </c>
      <c r="L9" t="s">
        <v>612</v>
      </c>
      <c r="M9" t="str">
        <f>VLOOKUP(K9,'2.masterfirm'!A:D,3,0)</f>
        <v>Finance/Investment</v>
      </c>
      <c r="N9" t="str">
        <f>VLOOKUP(K9,'2.masterfirm'!A:D,4,0)</f>
        <v>Financial Sector</v>
      </c>
      <c r="O9" t="str">
        <f>IFERROR(VLOOKUP(K9,'1.master_list_7May'!C:K,9,0),"")</f>
        <v>Have records but not submitted</v>
      </c>
      <c r="P9" s="2" t="s">
        <v>666</v>
      </c>
    </row>
    <row r="10" spans="1:16" x14ac:dyDescent="0.25">
      <c r="A10">
        <v>8</v>
      </c>
      <c r="B10" t="s">
        <v>583</v>
      </c>
      <c r="C10">
        <v>94</v>
      </c>
      <c r="D10">
        <v>247464</v>
      </c>
      <c r="E10">
        <v>40464</v>
      </c>
      <c r="F10">
        <v>5.2999999999999999E-2</v>
      </c>
      <c r="G10">
        <v>0.81499999999999995</v>
      </c>
      <c r="H10">
        <v>0.13200000000000001</v>
      </c>
      <c r="I10">
        <v>1</v>
      </c>
      <c r="J10" t="s">
        <v>616</v>
      </c>
      <c r="K10" t="s">
        <v>51</v>
      </c>
      <c r="L10" t="s">
        <v>612</v>
      </c>
      <c r="M10" t="str">
        <f>VLOOKUP(K10,'2.masterfirm'!A:D,3,0)</f>
        <v>Consumer</v>
      </c>
      <c r="N10" t="str">
        <f>VLOOKUP(K10,'2.masterfirm'!A:D,4,0)</f>
        <v>Industry</v>
      </c>
      <c r="O10" t="str">
        <f>IFERROR(VLOOKUP(K10,'1.master_list_7May'!C:K,9,0),"")</f>
        <v>Have records and have submitted</v>
      </c>
      <c r="P10" s="2" t="s">
        <v>667</v>
      </c>
    </row>
    <row r="11" spans="1:16" x14ac:dyDescent="0.25">
      <c r="A11">
        <v>9</v>
      </c>
      <c r="B11" t="s">
        <v>620</v>
      </c>
      <c r="J11" t="s">
        <v>618</v>
      </c>
      <c r="K11" s="3" t="s">
        <v>62</v>
      </c>
      <c r="L11" t="s">
        <v>612</v>
      </c>
      <c r="M11" t="str">
        <f>VLOOKUP(K11,'2.masterfirm'!A:D,3,0)</f>
        <v>Foreign Bank</v>
      </c>
      <c r="N11" t="str">
        <f>VLOOKUP(K11,'2.masterfirm'!A:D,4,0)</f>
        <v>Financial Sector</v>
      </c>
      <c r="O11" t="str">
        <f>IFERROR(VLOOKUP(K11,'1.master_list_7May'!C:K,9,0),"")</f>
        <v>Have records but not submitted</v>
      </c>
      <c r="P11" s="2" t="s">
        <v>666</v>
      </c>
    </row>
    <row r="12" spans="1:16" x14ac:dyDescent="0.25">
      <c r="A12">
        <v>10</v>
      </c>
      <c r="B12" t="s">
        <v>621</v>
      </c>
      <c r="J12" t="s">
        <v>618</v>
      </c>
      <c r="K12" s="3" t="s">
        <v>62</v>
      </c>
      <c r="L12" t="s">
        <v>612</v>
      </c>
      <c r="M12" t="str">
        <f>VLOOKUP(K12,'2.masterfirm'!A:D,3,0)</f>
        <v>Foreign Bank</v>
      </c>
      <c r="N12" t="str">
        <f>VLOOKUP(K12,'2.masterfirm'!A:D,4,0)</f>
        <v>Financial Sector</v>
      </c>
      <c r="O12" t="str">
        <f>IFERROR(VLOOKUP(K12,'1.master_list_7May'!C:K,9,0),"")</f>
        <v>Have records but not submitted</v>
      </c>
      <c r="P12" s="2" t="s">
        <v>666</v>
      </c>
    </row>
    <row r="13" spans="1:16" x14ac:dyDescent="0.25">
      <c r="A13">
        <v>11</v>
      </c>
      <c r="B13" t="s">
        <v>584</v>
      </c>
      <c r="C13">
        <v>12</v>
      </c>
      <c r="D13">
        <v>57241</v>
      </c>
      <c r="E13">
        <v>8643</v>
      </c>
      <c r="F13">
        <v>6.4000000000000001E-2</v>
      </c>
      <c r="G13">
        <v>0.85299999999999998</v>
      </c>
      <c r="H13">
        <v>8.3000000000000004E-2</v>
      </c>
      <c r="I13">
        <v>0.99939999999999996</v>
      </c>
      <c r="J13" t="s">
        <v>616</v>
      </c>
      <c r="K13" t="s">
        <v>56</v>
      </c>
      <c r="L13" t="s">
        <v>612</v>
      </c>
      <c r="M13" t="str">
        <f>VLOOKUP(K13,'2.masterfirm'!A:D,3,0)</f>
        <v>Finance/Investment</v>
      </c>
      <c r="N13" t="str">
        <f>VLOOKUP(K13,'2.masterfirm'!A:D,4,0)</f>
        <v>Financial Sector</v>
      </c>
      <c r="O13" t="str">
        <f>IFERROR(VLOOKUP(K13,'1.master_list_7May'!C:K,9,0),"")</f>
        <v>Have records and have submitted</v>
      </c>
      <c r="P13" s="2" t="s">
        <v>666</v>
      </c>
    </row>
    <row r="14" spans="1:16" x14ac:dyDescent="0.25">
      <c r="A14">
        <v>12</v>
      </c>
      <c r="B14" t="s">
        <v>585</v>
      </c>
      <c r="C14">
        <v>23</v>
      </c>
      <c r="D14">
        <v>69324</v>
      </c>
      <c r="E14">
        <v>10179</v>
      </c>
      <c r="F14">
        <v>6.8000000000000005E-2</v>
      </c>
      <c r="G14">
        <v>0.84099999999999997</v>
      </c>
      <c r="H14">
        <v>9.1999999999999998E-2</v>
      </c>
      <c r="I14">
        <v>0.99980000000000002</v>
      </c>
      <c r="J14" t="s">
        <v>616</v>
      </c>
      <c r="K14" t="s">
        <v>72</v>
      </c>
      <c r="L14" t="s">
        <v>612</v>
      </c>
      <c r="M14" t="str">
        <f>VLOOKUP(K14,'2.masterfirm'!A:D,3,0)</f>
        <v>Insurance</v>
      </c>
      <c r="N14" t="str">
        <f>VLOOKUP(K14,'2.masterfirm'!A:D,4,0)</f>
        <v>Financial Sector</v>
      </c>
      <c r="O14" t="str">
        <f>IFERROR(VLOOKUP(K14,'1.master_list_7May'!C:K,9,0),"")</f>
        <v>Have records but not submitted</v>
      </c>
      <c r="P14" s="2" t="s">
        <v>666</v>
      </c>
    </row>
    <row r="15" spans="1:16" hidden="1" x14ac:dyDescent="0.25">
      <c r="A15">
        <v>13</v>
      </c>
      <c r="B15" t="s">
        <v>586</v>
      </c>
      <c r="C15">
        <v>1</v>
      </c>
      <c r="D15">
        <v>122</v>
      </c>
      <c r="E15">
        <v>31</v>
      </c>
      <c r="F15">
        <v>0.21299999999999999</v>
      </c>
      <c r="G15">
        <v>0.78700000000000003</v>
      </c>
      <c r="H15">
        <v>0</v>
      </c>
      <c r="I15">
        <v>-0.65229999999999999</v>
      </c>
      <c r="J15" t="s">
        <v>616</v>
      </c>
      <c r="K15" t="s">
        <v>74</v>
      </c>
      <c r="L15" t="s">
        <v>613</v>
      </c>
      <c r="M15" t="str">
        <f>VLOOKUP(K15,'2.masterfirm'!A:D,3,0)</f>
        <v>Foreign Bank</v>
      </c>
      <c r="N15" t="str">
        <f>VLOOKUP(K15,'2.masterfirm'!A:D,4,0)</f>
        <v>Financial Sector</v>
      </c>
      <c r="O15" t="str">
        <f>IFERROR(VLOOKUP(K15,'1.master_list_7May'!C:K,9,0),"")</f>
        <v>Have records but not submitted</v>
      </c>
      <c r="P15" s="2"/>
    </row>
    <row r="16" spans="1:16" x14ac:dyDescent="0.25">
      <c r="A16">
        <v>14</v>
      </c>
      <c r="B16" t="s">
        <v>587</v>
      </c>
      <c r="C16">
        <v>45</v>
      </c>
      <c r="D16">
        <v>171883</v>
      </c>
      <c r="E16">
        <v>25203</v>
      </c>
      <c r="F16">
        <v>0.05</v>
      </c>
      <c r="G16">
        <v>0.84399999999999997</v>
      </c>
      <c r="H16">
        <v>0.106</v>
      </c>
      <c r="I16">
        <v>1</v>
      </c>
      <c r="J16" t="s">
        <v>616</v>
      </c>
      <c r="K16" t="s">
        <v>611</v>
      </c>
      <c r="L16" t="s">
        <v>612</v>
      </c>
      <c r="M16" t="str">
        <f>VLOOKUP(K16,'2.masterfirm'!A:D,3,0)</f>
        <v>Australian/Nz Bank</v>
      </c>
      <c r="N16" t="str">
        <f>VLOOKUP(K16,'2.masterfirm'!A:D,4,0)</f>
        <v>Financial Sector</v>
      </c>
      <c r="O16" t="str">
        <f>IFERROR(VLOOKUP(K16,'1.master_list_7May'!C:K,9,0),"")</f>
        <v/>
      </c>
      <c r="P16" s="2" t="s">
        <v>666</v>
      </c>
    </row>
    <row r="17" spans="1:16" hidden="1" x14ac:dyDescent="0.25">
      <c r="A17">
        <v>15</v>
      </c>
      <c r="B17" t="s">
        <v>588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616</v>
      </c>
      <c r="K17" t="s">
        <v>206</v>
      </c>
      <c r="L17" t="s">
        <v>613</v>
      </c>
      <c r="M17" t="str">
        <f>VLOOKUP(K17,'2.masterfirm'!A:D,3,0)</f>
        <v>Finance/Investment</v>
      </c>
      <c r="N17" t="str">
        <f>VLOOKUP(K17,'2.masterfirm'!A:D,4,0)</f>
        <v>Financial Sector</v>
      </c>
      <c r="O17" t="str">
        <f>IFERROR(VLOOKUP(K17,'1.master_list_7May'!C:K,9,0),"")</f>
        <v>Have records but not submitted</v>
      </c>
      <c r="P17" s="2"/>
    </row>
    <row r="18" spans="1:16" hidden="1" x14ac:dyDescent="0.25">
      <c r="A18">
        <v>16</v>
      </c>
      <c r="B18" t="s">
        <v>589</v>
      </c>
      <c r="C18">
        <v>1</v>
      </c>
      <c r="D18">
        <v>1056</v>
      </c>
      <c r="E18">
        <v>175</v>
      </c>
      <c r="F18">
        <v>0.05</v>
      </c>
      <c r="G18">
        <v>0.9</v>
      </c>
      <c r="H18">
        <v>5.0999999999999997E-2</v>
      </c>
      <c r="I18">
        <v>0.2732</v>
      </c>
      <c r="J18" t="s">
        <v>616</v>
      </c>
      <c r="K18" t="s">
        <v>260</v>
      </c>
      <c r="L18" t="s">
        <v>613</v>
      </c>
      <c r="M18" t="str">
        <f>VLOOKUP(K18,'2.masterfirm'!A:D,3,0)</f>
        <v>Foreign Bank</v>
      </c>
      <c r="N18" t="str">
        <f>VLOOKUP(K18,'2.masterfirm'!A:D,4,0)</f>
        <v>Financial Sector</v>
      </c>
      <c r="O18" t="str">
        <f>IFERROR(VLOOKUP(K18,'1.master_list_7May'!C:K,9,0),"")</f>
        <v>Have records but not submitted</v>
      </c>
      <c r="P18" s="2" t="s">
        <v>666</v>
      </c>
    </row>
    <row r="19" spans="1:16" x14ac:dyDescent="0.25">
      <c r="A19">
        <v>17</v>
      </c>
      <c r="B19" t="s">
        <v>590</v>
      </c>
      <c r="C19">
        <v>29</v>
      </c>
      <c r="D19">
        <v>61409</v>
      </c>
      <c r="E19">
        <v>7632</v>
      </c>
      <c r="F19">
        <v>0.1</v>
      </c>
      <c r="G19">
        <v>0.81200000000000006</v>
      </c>
      <c r="H19">
        <v>8.7999999999999995E-2</v>
      </c>
      <c r="I19">
        <v>-0.99750000000000005</v>
      </c>
      <c r="J19" t="s">
        <v>616</v>
      </c>
      <c r="K19" t="s">
        <v>124</v>
      </c>
      <c r="L19" t="s">
        <v>612</v>
      </c>
      <c r="M19" t="str">
        <f>VLOOKUP(K19,'2.masterfirm'!A:D,3,0)</f>
        <v>Foreign Bank</v>
      </c>
      <c r="N19" t="str">
        <f>VLOOKUP(K19,'2.masterfirm'!A:D,4,0)</f>
        <v>Financial Sector</v>
      </c>
      <c r="O19" t="str">
        <f>IFERROR(VLOOKUP(K19,'1.master_list_7May'!C:K,9,0),"")</f>
        <v>Have records but not submitted</v>
      </c>
      <c r="P19" s="2" t="s">
        <v>666</v>
      </c>
    </row>
    <row r="20" spans="1:16" x14ac:dyDescent="0.25">
      <c r="A20">
        <v>18</v>
      </c>
      <c r="B20" t="s">
        <v>591</v>
      </c>
      <c r="C20">
        <v>30</v>
      </c>
      <c r="D20">
        <v>59284</v>
      </c>
      <c r="E20">
        <v>6765</v>
      </c>
      <c r="F20">
        <v>7.0000000000000007E-2</v>
      </c>
      <c r="G20">
        <v>0.873</v>
      </c>
      <c r="H20">
        <v>5.7000000000000002E-2</v>
      </c>
      <c r="I20">
        <v>-0.99650000000000005</v>
      </c>
      <c r="J20" t="s">
        <v>616</v>
      </c>
      <c r="K20" t="s">
        <v>122</v>
      </c>
      <c r="L20" t="s">
        <v>612</v>
      </c>
      <c r="M20" t="str">
        <f>VLOOKUP(K20,'2.masterfirm'!A:D,3,0)</f>
        <v>Foreign Bank</v>
      </c>
      <c r="N20" t="str">
        <f>VLOOKUP(K20,'2.masterfirm'!A:D,4,0)</f>
        <v>Financial Sector</v>
      </c>
      <c r="O20" t="str">
        <f>IFERROR(VLOOKUP(K20,'1.master_list_7May'!C:K,9,0),"")</f>
        <v>Have records but not submitted</v>
      </c>
      <c r="P20" t="s">
        <v>666</v>
      </c>
    </row>
    <row r="21" spans="1:16" x14ac:dyDescent="0.25">
      <c r="A21">
        <v>19</v>
      </c>
      <c r="B21" t="s">
        <v>592</v>
      </c>
      <c r="C21">
        <v>31</v>
      </c>
      <c r="D21">
        <v>66207</v>
      </c>
      <c r="E21">
        <v>9860</v>
      </c>
      <c r="F21">
        <v>1.9E-2</v>
      </c>
      <c r="G21">
        <v>0.83299999999999996</v>
      </c>
      <c r="H21">
        <v>0.14699999999999999</v>
      </c>
      <c r="I21">
        <v>1</v>
      </c>
      <c r="J21" t="s">
        <v>616</v>
      </c>
      <c r="K21" t="s">
        <v>138</v>
      </c>
      <c r="L21" t="s">
        <v>612</v>
      </c>
      <c r="M21" t="str">
        <f>VLOOKUP(K21,'2.masterfirm'!A:D,3,0)</f>
        <v>Australian/Nz Bank</v>
      </c>
      <c r="N21" t="str">
        <f>VLOOKUP(K21,'2.masterfirm'!A:D,4,0)</f>
        <v>Financial Sector</v>
      </c>
      <c r="O21" t="str">
        <f>IFERROR(VLOOKUP(K21,'1.master_list_7May'!C:K,9,0),"")</f>
        <v>No records</v>
      </c>
      <c r="P21" s="2" t="s">
        <v>668</v>
      </c>
    </row>
    <row r="22" spans="1:16" x14ac:dyDescent="0.25">
      <c r="A22">
        <v>20</v>
      </c>
      <c r="B22" t="s">
        <v>593</v>
      </c>
      <c r="C22">
        <v>10</v>
      </c>
      <c r="D22">
        <v>54770</v>
      </c>
      <c r="E22">
        <v>8398</v>
      </c>
      <c r="F22">
        <v>6.7000000000000004E-2</v>
      </c>
      <c r="G22">
        <v>0.84399999999999997</v>
      </c>
      <c r="H22">
        <v>8.8999999999999996E-2</v>
      </c>
      <c r="I22">
        <v>0.99950000000000006</v>
      </c>
      <c r="J22" t="s">
        <v>616</v>
      </c>
      <c r="K22" t="s">
        <v>158</v>
      </c>
      <c r="L22" t="s">
        <v>612</v>
      </c>
      <c r="M22" t="str">
        <f>VLOOKUP(K22,'2.masterfirm'!A:D,3,0)</f>
        <v>Hotel/Restaurant/Tourism</v>
      </c>
      <c r="N22" t="str">
        <f>VLOOKUP(K22,'2.masterfirm'!A:D,4,0)</f>
        <v>Industry</v>
      </c>
      <c r="O22" t="str">
        <f>IFERROR(VLOOKUP(K22,'1.master_list_7May'!C:K,9,0),"")</f>
        <v>Have records and have submitted</v>
      </c>
      <c r="P22" s="2" t="s">
        <v>666</v>
      </c>
    </row>
    <row r="23" spans="1:16" x14ac:dyDescent="0.25">
      <c r="A23">
        <v>21</v>
      </c>
      <c r="B23" t="s">
        <v>594</v>
      </c>
      <c r="C23">
        <v>25</v>
      </c>
      <c r="D23">
        <v>52765</v>
      </c>
      <c r="E23">
        <v>7687</v>
      </c>
      <c r="F23">
        <v>5.0999999999999997E-2</v>
      </c>
      <c r="G23">
        <v>0.85099999999999998</v>
      </c>
      <c r="H23">
        <v>9.8000000000000004E-2</v>
      </c>
      <c r="I23">
        <v>0.99980000000000002</v>
      </c>
      <c r="J23" t="s">
        <v>616</v>
      </c>
      <c r="K23" t="s">
        <v>174</v>
      </c>
      <c r="L23" t="s">
        <v>612</v>
      </c>
      <c r="M23" t="str">
        <f>VLOOKUP(K23,'2.masterfirm'!A:D,3,0)</f>
        <v>Property</v>
      </c>
      <c r="N23" t="str">
        <f>VLOOKUP(K23,'2.masterfirm'!A:D,4,0)</f>
        <v>Industry</v>
      </c>
      <c r="O23" t="str">
        <f>IFERROR(VLOOKUP(K23,'1.master_list_7May'!C:K,9,0),"")</f>
        <v>Have records but not submitted</v>
      </c>
      <c r="P23" s="2" t="s">
        <v>666</v>
      </c>
    </row>
    <row r="24" spans="1:16" x14ac:dyDescent="0.25">
      <c r="A24">
        <v>22</v>
      </c>
      <c r="B24" t="s">
        <v>595</v>
      </c>
      <c r="C24">
        <v>17</v>
      </c>
      <c r="D24">
        <v>70467</v>
      </c>
      <c r="E24">
        <v>11581</v>
      </c>
      <c r="F24">
        <v>8.1000000000000003E-2</v>
      </c>
      <c r="G24">
        <v>0.84199999999999997</v>
      </c>
      <c r="H24">
        <v>7.6999999999999999E-2</v>
      </c>
      <c r="I24">
        <v>0.47160000000000002</v>
      </c>
      <c r="J24" t="s">
        <v>616</v>
      </c>
      <c r="K24" t="s">
        <v>260</v>
      </c>
      <c r="L24" t="s">
        <v>612</v>
      </c>
      <c r="M24" t="str">
        <f>VLOOKUP(K24,'2.masterfirm'!A:D,3,0)</f>
        <v>Foreign Bank</v>
      </c>
      <c r="N24" t="str">
        <f>VLOOKUP(K24,'2.masterfirm'!A:D,4,0)</f>
        <v>Financial Sector</v>
      </c>
      <c r="O24" t="str">
        <f>IFERROR(VLOOKUP(K24,'1.master_list_7May'!C:K,9,0),"")</f>
        <v>Have records but not submitted</v>
      </c>
      <c r="P24" t="s">
        <v>666</v>
      </c>
    </row>
    <row r="25" spans="1:16" x14ac:dyDescent="0.25">
      <c r="A25">
        <v>23</v>
      </c>
      <c r="B25" t="s">
        <v>596</v>
      </c>
      <c r="C25">
        <v>128</v>
      </c>
      <c r="D25">
        <v>271200</v>
      </c>
      <c r="E25">
        <v>38671</v>
      </c>
      <c r="F25">
        <v>4.2000000000000003E-2</v>
      </c>
      <c r="G25">
        <v>0.82099999999999995</v>
      </c>
      <c r="H25">
        <v>0.13800000000000001</v>
      </c>
      <c r="I25">
        <v>1</v>
      </c>
      <c r="J25" t="s">
        <v>616</v>
      </c>
      <c r="K25" t="s">
        <v>178</v>
      </c>
      <c r="L25" t="s">
        <v>612</v>
      </c>
      <c r="M25" t="str">
        <f>VLOOKUP(K25,'2.masterfirm'!A:D,3,0)</f>
        <v>Technology </v>
      </c>
      <c r="N25" t="str">
        <f>VLOOKUP(K25,'2.masterfirm'!A:D,4,0)</f>
        <v>Industry</v>
      </c>
      <c r="O25" t="str">
        <f>IFERROR(VLOOKUP(K25,'1.master_list_7May'!C:K,9,0),"")</f>
        <v>Have records and have submitted</v>
      </c>
      <c r="P25" s="2" t="s">
        <v>667</v>
      </c>
    </row>
    <row r="26" spans="1:16" x14ac:dyDescent="0.25">
      <c r="A26">
        <v>24</v>
      </c>
      <c r="B26" t="s">
        <v>597</v>
      </c>
      <c r="C26">
        <v>172</v>
      </c>
      <c r="D26">
        <v>458948</v>
      </c>
      <c r="E26">
        <v>64966</v>
      </c>
      <c r="F26">
        <v>4.3999999999999997E-2</v>
      </c>
      <c r="G26">
        <v>0.83</v>
      </c>
      <c r="H26">
        <v>0.126</v>
      </c>
      <c r="I26">
        <v>1</v>
      </c>
      <c r="J26" t="s">
        <v>616</v>
      </c>
      <c r="K26" t="s">
        <v>180</v>
      </c>
      <c r="L26" t="s">
        <v>612</v>
      </c>
      <c r="M26" t="str">
        <f>VLOOKUP(K26,'2.masterfirm'!A:D,3,0)</f>
        <v>Finance/Investment</v>
      </c>
      <c r="N26" t="str">
        <f>VLOOKUP(K26,'2.masterfirm'!A:D,4,0)</f>
        <v>Financial Sector</v>
      </c>
      <c r="O26" t="str">
        <f>IFERROR(VLOOKUP(K26,'1.master_list_7May'!C:K,9,0),"")</f>
        <v>Have records and have submitted</v>
      </c>
      <c r="P26" s="2" t="s">
        <v>667</v>
      </c>
    </row>
    <row r="27" spans="1:16" x14ac:dyDescent="0.25">
      <c r="A27">
        <v>25</v>
      </c>
      <c r="B27" t="s">
        <v>598</v>
      </c>
      <c r="C27">
        <v>20</v>
      </c>
      <c r="D27">
        <v>51781</v>
      </c>
      <c r="E27">
        <v>7404</v>
      </c>
      <c r="F27">
        <v>6.6000000000000003E-2</v>
      </c>
      <c r="G27">
        <v>0.84199999999999997</v>
      </c>
      <c r="H27">
        <v>9.0999999999999998E-2</v>
      </c>
      <c r="I27">
        <v>0.99919999999999998</v>
      </c>
      <c r="J27" t="s">
        <v>616</v>
      </c>
      <c r="K27" t="s">
        <v>196</v>
      </c>
      <c r="L27" t="s">
        <v>612</v>
      </c>
      <c r="M27" t="str">
        <f>VLOOKUP(K27,'2.masterfirm'!A:D,3,0)</f>
        <v>Insurance</v>
      </c>
      <c r="N27" t="str">
        <f>VLOOKUP(K27,'2.masterfirm'!A:D,4,0)</f>
        <v>Financial Sector</v>
      </c>
      <c r="O27" t="str">
        <f>IFERROR(VLOOKUP(K27,'1.master_list_7May'!C:K,9,0),"")</f>
        <v>Have records but not submitted</v>
      </c>
      <c r="P27" s="2" t="s">
        <v>666</v>
      </c>
    </row>
    <row r="28" spans="1:16" x14ac:dyDescent="0.25">
      <c r="A28">
        <v>26</v>
      </c>
      <c r="B28" t="s">
        <v>622</v>
      </c>
      <c r="J28" t="s">
        <v>618</v>
      </c>
      <c r="K28" s="3" t="s">
        <v>200</v>
      </c>
      <c r="L28" t="s">
        <v>612</v>
      </c>
      <c r="M28" t="str">
        <f>VLOOKUP(K28,'2.masterfirm'!A:D,3,0)</f>
        <v>Australian/Nz Bank</v>
      </c>
      <c r="N28" t="str">
        <f>VLOOKUP(K28,'2.masterfirm'!A:D,4,0)</f>
        <v>Financial Sector</v>
      </c>
      <c r="O28" t="str">
        <f>IFERROR(VLOOKUP(K28,'1.master_list_7May'!C:K,9,0),"")</f>
        <v>Have records but not submitted</v>
      </c>
      <c r="P28" s="2" t="s">
        <v>666</v>
      </c>
    </row>
    <row r="29" spans="1:16" x14ac:dyDescent="0.25">
      <c r="A29">
        <v>27</v>
      </c>
      <c r="B29" t="s">
        <v>623</v>
      </c>
      <c r="J29" t="s">
        <v>618</v>
      </c>
      <c r="K29" s="3" t="s">
        <v>200</v>
      </c>
      <c r="L29" t="s">
        <v>612</v>
      </c>
      <c r="M29" t="str">
        <f>VLOOKUP(K29,'2.masterfirm'!A:D,3,0)</f>
        <v>Australian/Nz Bank</v>
      </c>
      <c r="N29" t="str">
        <f>VLOOKUP(K29,'2.masterfirm'!A:D,4,0)</f>
        <v>Financial Sector</v>
      </c>
      <c r="O29" t="str">
        <f>IFERROR(VLOOKUP(K29,'1.master_list_7May'!C:K,9,0),"")</f>
        <v>Have records but not submitted</v>
      </c>
      <c r="P29" s="2" t="s">
        <v>666</v>
      </c>
    </row>
    <row r="30" spans="1:16" x14ac:dyDescent="0.25">
      <c r="A30">
        <v>28</v>
      </c>
      <c r="B30" t="s">
        <v>599</v>
      </c>
      <c r="C30">
        <v>36</v>
      </c>
      <c r="D30">
        <v>48482</v>
      </c>
      <c r="E30">
        <v>7591</v>
      </c>
      <c r="F30">
        <v>7.4999999999999997E-2</v>
      </c>
      <c r="G30">
        <v>0.84899999999999998</v>
      </c>
      <c r="H30">
        <v>7.5999999999999998E-2</v>
      </c>
      <c r="I30">
        <v>0.99229999999999996</v>
      </c>
      <c r="J30" t="s">
        <v>616</v>
      </c>
      <c r="K30" t="s">
        <v>208</v>
      </c>
      <c r="L30" t="s">
        <v>612</v>
      </c>
      <c r="M30" t="str">
        <f>VLOOKUP(K30,'2.masterfirm'!A:D,3,0)</f>
        <v>Hotel/Restaurant/Tourism</v>
      </c>
      <c r="N30" t="str">
        <f>VLOOKUP(K30,'2.masterfirm'!A:D,4,0)</f>
        <v>Industry</v>
      </c>
      <c r="O30" t="str">
        <f>IFERROR(VLOOKUP(K30,'1.master_list_7May'!C:K,9,0),"")</f>
        <v>Have records but not submitted</v>
      </c>
      <c r="P30" s="2" t="s">
        <v>666</v>
      </c>
    </row>
    <row r="31" spans="1:16" x14ac:dyDescent="0.25">
      <c r="A31">
        <v>29</v>
      </c>
      <c r="B31" t="s">
        <v>600</v>
      </c>
      <c r="C31">
        <v>125</v>
      </c>
      <c r="D31">
        <v>223771</v>
      </c>
      <c r="E31">
        <v>31511</v>
      </c>
      <c r="F31">
        <v>5.5E-2</v>
      </c>
      <c r="G31">
        <v>0.83299999999999996</v>
      </c>
      <c r="H31">
        <v>0.113</v>
      </c>
      <c r="I31">
        <v>1</v>
      </c>
      <c r="J31" t="s">
        <v>616</v>
      </c>
      <c r="K31" t="s">
        <v>60</v>
      </c>
      <c r="L31" t="s">
        <v>612</v>
      </c>
      <c r="M31" t="str">
        <f>VLOOKUP(K31,'2.masterfirm'!A:D,3,0)</f>
        <v>Airport/Infrastructure</v>
      </c>
      <c r="N31" t="str">
        <f>VLOOKUP(K31,'2.masterfirm'!A:D,4,0)</f>
        <v>Industry</v>
      </c>
      <c r="O31" t="str">
        <f>IFERROR(VLOOKUP(K31,'1.master_list_7May'!C:K,9,0),"")</f>
        <v>Have records and have submitted</v>
      </c>
      <c r="P31" s="2" t="s">
        <v>668</v>
      </c>
    </row>
    <row r="32" spans="1:16" x14ac:dyDescent="0.25">
      <c r="A32">
        <v>30</v>
      </c>
      <c r="B32" t="s">
        <v>601</v>
      </c>
      <c r="C32">
        <v>28</v>
      </c>
      <c r="D32">
        <v>71724</v>
      </c>
      <c r="E32">
        <v>10131</v>
      </c>
      <c r="F32">
        <v>9.0999999999999998E-2</v>
      </c>
      <c r="G32">
        <v>0.80500000000000005</v>
      </c>
      <c r="H32">
        <v>0.104</v>
      </c>
      <c r="I32">
        <v>0.99950000000000006</v>
      </c>
      <c r="J32" t="s">
        <v>616</v>
      </c>
      <c r="K32" t="s">
        <v>206</v>
      </c>
      <c r="L32" t="s">
        <v>612</v>
      </c>
      <c r="M32" t="str">
        <f>VLOOKUP(K32,'2.masterfirm'!A:D,3,0)</f>
        <v>Finance/Investment</v>
      </c>
      <c r="N32" t="str">
        <f>VLOOKUP(K32,'2.masterfirm'!A:D,4,0)</f>
        <v>Financial Sector</v>
      </c>
      <c r="O32" t="str">
        <f>IFERROR(VLOOKUP(K32,'1.master_list_7May'!C:K,9,0),"")</f>
        <v>Have records but not submitted</v>
      </c>
      <c r="P32" s="2" t="s">
        <v>666</v>
      </c>
    </row>
    <row r="33" spans="1:16" x14ac:dyDescent="0.25">
      <c r="A33">
        <v>31</v>
      </c>
      <c r="B33" t="s">
        <v>602</v>
      </c>
      <c r="C33">
        <v>31</v>
      </c>
      <c r="D33">
        <v>77210</v>
      </c>
      <c r="E33">
        <v>10621</v>
      </c>
      <c r="F33">
        <v>8.8999999999999996E-2</v>
      </c>
      <c r="G33">
        <v>0.83699999999999997</v>
      </c>
      <c r="H33">
        <v>7.3999999999999996E-2</v>
      </c>
      <c r="I33">
        <v>-0.998</v>
      </c>
      <c r="J33" t="s">
        <v>616</v>
      </c>
      <c r="K33" t="s">
        <v>212</v>
      </c>
      <c r="L33" t="s">
        <v>612</v>
      </c>
      <c r="M33" t="str">
        <f>VLOOKUP(K33,'2.masterfirm'!A:D,3,0)</f>
        <v>Food/Agriculture</v>
      </c>
      <c r="N33" t="str">
        <f>VLOOKUP(K33,'2.masterfirm'!A:D,4,0)</f>
        <v>Industry</v>
      </c>
      <c r="O33" t="str">
        <f>IFERROR(VLOOKUP(K33,'1.master_list_7May'!C:K,9,0),"")</f>
        <v>Have records but not submitted</v>
      </c>
      <c r="P33" s="2" t="s">
        <v>666</v>
      </c>
    </row>
    <row r="34" spans="1:16" x14ac:dyDescent="0.25">
      <c r="A34">
        <v>32</v>
      </c>
      <c r="B34" t="s">
        <v>603</v>
      </c>
      <c r="C34">
        <v>15</v>
      </c>
      <c r="D34">
        <v>60497</v>
      </c>
      <c r="E34">
        <v>7155</v>
      </c>
      <c r="F34">
        <v>6.4000000000000001E-2</v>
      </c>
      <c r="G34">
        <v>0.85399999999999998</v>
      </c>
      <c r="H34">
        <v>8.3000000000000004E-2</v>
      </c>
      <c r="I34">
        <v>0.99929999999999997</v>
      </c>
      <c r="J34" t="s">
        <v>616</v>
      </c>
      <c r="K34" t="s">
        <v>214</v>
      </c>
      <c r="L34" t="s">
        <v>612</v>
      </c>
      <c r="M34" t="str">
        <f>VLOOKUP(K34,'2.masterfirm'!A:D,3,0)</f>
        <v>Food/Agriculture</v>
      </c>
      <c r="N34" t="str">
        <f>VLOOKUP(K34,'2.masterfirm'!A:D,4,0)</f>
        <v>Industry</v>
      </c>
      <c r="O34" t="str">
        <f>IFERROR(VLOOKUP(K34,'1.master_list_7May'!C:K,9,0),"")</f>
        <v>Have records and have submitted</v>
      </c>
      <c r="P34" s="2" t="s">
        <v>666</v>
      </c>
    </row>
    <row r="35" spans="1:16" x14ac:dyDescent="0.25">
      <c r="A35">
        <v>33</v>
      </c>
      <c r="B35" t="s">
        <v>604</v>
      </c>
      <c r="C35">
        <v>20</v>
      </c>
      <c r="D35">
        <v>76</v>
      </c>
      <c r="E35">
        <v>1</v>
      </c>
      <c r="F35">
        <v>0</v>
      </c>
      <c r="G35">
        <v>1</v>
      </c>
      <c r="H35">
        <v>0</v>
      </c>
      <c r="I35">
        <v>0</v>
      </c>
      <c r="J35" t="s">
        <v>616</v>
      </c>
      <c r="K35" t="s">
        <v>244</v>
      </c>
      <c r="L35" t="s">
        <v>612</v>
      </c>
      <c r="M35" t="str">
        <f>VLOOKUP(K35,'2.masterfirm'!A:D,3,0)</f>
        <v>Insurance</v>
      </c>
      <c r="N35" t="str">
        <f>VLOOKUP(K35,'2.masterfirm'!A:D,4,0)</f>
        <v>Financial Sector</v>
      </c>
      <c r="O35" t="str">
        <f>IFERROR(VLOOKUP(K35,'1.master_list_7May'!C:K,9,0),"")</f>
        <v>Have records but not submitted</v>
      </c>
      <c r="P35" s="2" t="s">
        <v>666</v>
      </c>
    </row>
    <row r="36" spans="1:16" x14ac:dyDescent="0.25">
      <c r="A36">
        <v>34</v>
      </c>
      <c r="B36" t="s">
        <v>605</v>
      </c>
      <c r="C36">
        <v>40</v>
      </c>
      <c r="D36">
        <v>117337</v>
      </c>
      <c r="E36">
        <v>16966</v>
      </c>
      <c r="F36">
        <v>6.3E-2</v>
      </c>
      <c r="G36">
        <v>0.79400000000000004</v>
      </c>
      <c r="H36">
        <v>0.14399999999999999</v>
      </c>
      <c r="I36">
        <v>1</v>
      </c>
      <c r="J36" t="s">
        <v>616</v>
      </c>
      <c r="K36" t="s">
        <v>242</v>
      </c>
      <c r="L36" t="s">
        <v>612</v>
      </c>
      <c r="M36" t="str">
        <f>VLOOKUP(K36,'2.masterfirm'!A:D,3,0)</f>
        <v>Age Care</v>
      </c>
      <c r="N36" t="str">
        <f>VLOOKUP(K36,'2.masterfirm'!A:D,4,0)</f>
        <v>Real Estate</v>
      </c>
      <c r="O36" t="str">
        <f>IFERROR(VLOOKUP(K36,'1.master_list_7May'!C:K,9,0),"")</f>
        <v>Have records and have submitted</v>
      </c>
      <c r="P36" s="2" t="s">
        <v>666</v>
      </c>
    </row>
    <row r="37" spans="1:16" x14ac:dyDescent="0.25">
      <c r="A37">
        <v>35</v>
      </c>
      <c r="B37" t="s">
        <v>606</v>
      </c>
      <c r="C37">
        <v>23</v>
      </c>
      <c r="D37">
        <v>70344</v>
      </c>
      <c r="E37">
        <v>9642</v>
      </c>
      <c r="F37">
        <v>6.4000000000000001E-2</v>
      </c>
      <c r="G37">
        <v>0.79800000000000004</v>
      </c>
      <c r="H37">
        <v>0.13800000000000001</v>
      </c>
      <c r="I37">
        <v>1</v>
      </c>
      <c r="J37" t="s">
        <v>616</v>
      </c>
      <c r="K37" t="s">
        <v>268</v>
      </c>
      <c r="L37" t="s">
        <v>612</v>
      </c>
      <c r="M37" t="str">
        <f>VLOOKUP(K37,'2.masterfirm'!A:D,3,0)</f>
        <v>Manufacturing</v>
      </c>
      <c r="N37" t="str">
        <f>VLOOKUP(K37,'2.masterfirm'!A:D,4,0)</f>
        <v>Industry</v>
      </c>
      <c r="O37" t="str">
        <f>IFERROR(VLOOKUP(K37,'1.master_list_7May'!C:K,9,0),"")</f>
        <v>Have records but not submitted</v>
      </c>
      <c r="P37" s="2" t="s">
        <v>666</v>
      </c>
    </row>
    <row r="38" spans="1:16" x14ac:dyDescent="0.25">
      <c r="A38">
        <v>36</v>
      </c>
      <c r="B38" t="s">
        <v>607</v>
      </c>
      <c r="C38">
        <v>80</v>
      </c>
      <c r="D38">
        <v>198465</v>
      </c>
      <c r="E38">
        <v>28258</v>
      </c>
      <c r="F38">
        <v>3.5000000000000003E-2</v>
      </c>
      <c r="G38">
        <v>0.77400000000000002</v>
      </c>
      <c r="H38">
        <v>0.19</v>
      </c>
      <c r="I38">
        <v>1</v>
      </c>
      <c r="J38" t="s">
        <v>616</v>
      </c>
      <c r="K38" t="s">
        <v>272</v>
      </c>
      <c r="L38" t="s">
        <v>612</v>
      </c>
      <c r="M38" t="str">
        <f>VLOOKUP(K38,'2.masterfirm'!A:D,3,0)</f>
        <v>Airport/Infrastructure</v>
      </c>
      <c r="N38" t="str">
        <f>VLOOKUP(K38,'2.masterfirm'!A:D,4,0)</f>
        <v>Industry</v>
      </c>
      <c r="O38" t="str">
        <f>IFERROR(VLOOKUP(K38,'1.master_list_7May'!C:K,9,0),"")</f>
        <v>Have records but not submitted</v>
      </c>
      <c r="P38" s="2" t="s">
        <v>668</v>
      </c>
    </row>
    <row r="39" spans="1:16" x14ac:dyDescent="0.25">
      <c r="A39">
        <v>37</v>
      </c>
      <c r="B39" t="s">
        <v>608</v>
      </c>
      <c r="C39">
        <v>31</v>
      </c>
      <c r="D39">
        <v>59162</v>
      </c>
      <c r="E39">
        <v>8181</v>
      </c>
      <c r="F39">
        <v>6.5000000000000002E-2</v>
      </c>
      <c r="G39">
        <v>0.84499999999999997</v>
      </c>
      <c r="H39">
        <v>0.09</v>
      </c>
      <c r="I39">
        <v>0.99970000000000003</v>
      </c>
      <c r="J39" t="s">
        <v>616</v>
      </c>
      <c r="K39" t="s">
        <v>276</v>
      </c>
      <c r="L39" t="s">
        <v>612</v>
      </c>
      <c r="M39" t="str">
        <f>VLOOKUP(K39,'2.masterfirm'!A:D,3,0)</f>
        <v>Technology </v>
      </c>
      <c r="N39" t="str">
        <f>VLOOKUP(K39,'2.masterfirm'!A:D,4,0)</f>
        <v>Industry</v>
      </c>
      <c r="O39" t="str">
        <f>IFERROR(VLOOKUP(K39,'1.master_list_7May'!C:K,9,0),"")</f>
        <v>Have records but not submitted</v>
      </c>
      <c r="P39" s="2" t="s">
        <v>666</v>
      </c>
    </row>
    <row r="40" spans="1:16" x14ac:dyDescent="0.25">
      <c r="A40">
        <v>38</v>
      </c>
      <c r="B40" t="s">
        <v>609</v>
      </c>
      <c r="C40">
        <v>25</v>
      </c>
      <c r="D40">
        <v>126445</v>
      </c>
      <c r="E40">
        <v>17906</v>
      </c>
      <c r="F40">
        <v>7.0999999999999994E-2</v>
      </c>
      <c r="G40">
        <v>0.81</v>
      </c>
      <c r="H40">
        <v>0.11899999999999999</v>
      </c>
      <c r="I40">
        <v>1</v>
      </c>
      <c r="J40" t="s">
        <v>616</v>
      </c>
      <c r="K40" t="s">
        <v>286</v>
      </c>
      <c r="L40" t="s">
        <v>612</v>
      </c>
      <c r="M40" t="str">
        <f>VLOOKUP(K40,'2.masterfirm'!A:D,3,0)</f>
        <v>Energy</v>
      </c>
      <c r="N40" t="str">
        <f>VLOOKUP(K40,'2.masterfirm'!A:D,4,0)</f>
        <v>Energy</v>
      </c>
      <c r="O40" t="str">
        <f>IFERROR(VLOOKUP(K40,'1.master_list_7May'!C:K,9,0),"")</f>
        <v>Have records and have submitted</v>
      </c>
      <c r="P40" s="2" t="s">
        <v>666</v>
      </c>
    </row>
  </sheetData>
  <autoFilter ref="A1:P40" xr:uid="{D51EE168-7F7D-458C-B7F6-63CF27EAB9C1}">
    <filterColumn colId="11">
      <filters>
        <filter val="statemen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9E15-8544-4261-BD89-B6B1FEB38434}">
  <dimension ref="A1:A33"/>
  <sheetViews>
    <sheetView workbookViewId="0">
      <selection activeCell="A33" sqref="A1:A33"/>
    </sheetView>
  </sheetViews>
  <sheetFormatPr defaultRowHeight="15" x14ac:dyDescent="0.25"/>
  <sheetData>
    <row r="1" spans="1:1" x14ac:dyDescent="0.25">
      <c r="A1" t="s">
        <v>194</v>
      </c>
    </row>
    <row r="2" spans="1:1" x14ac:dyDescent="0.25">
      <c r="A2" t="s">
        <v>74</v>
      </c>
    </row>
    <row r="3" spans="1:1" x14ac:dyDescent="0.25">
      <c r="A3" t="s">
        <v>21</v>
      </c>
    </row>
    <row r="4" spans="1:1" x14ac:dyDescent="0.25">
      <c r="A4" t="s">
        <v>307</v>
      </c>
    </row>
    <row r="5" spans="1:1" x14ac:dyDescent="0.25">
      <c r="A5" t="s">
        <v>33</v>
      </c>
    </row>
    <row r="6" spans="1:1" x14ac:dyDescent="0.25">
      <c r="A6" t="s">
        <v>45</v>
      </c>
    </row>
    <row r="7" spans="1:1" x14ac:dyDescent="0.25">
      <c r="A7" t="s">
        <v>323</v>
      </c>
    </row>
    <row r="8" spans="1:1" x14ac:dyDescent="0.25">
      <c r="A8" t="s">
        <v>51</v>
      </c>
    </row>
    <row r="9" spans="1:1" x14ac:dyDescent="0.25">
      <c r="A9" s="3" t="s">
        <v>62</v>
      </c>
    </row>
    <row r="10" spans="1:1" x14ac:dyDescent="0.25">
      <c r="A10" t="s">
        <v>56</v>
      </c>
    </row>
    <row r="11" spans="1:1" x14ac:dyDescent="0.25">
      <c r="A11" t="s">
        <v>72</v>
      </c>
    </row>
    <row r="12" spans="1:1" x14ac:dyDescent="0.25">
      <c r="A12" t="s">
        <v>611</v>
      </c>
    </row>
    <row r="13" spans="1:1" x14ac:dyDescent="0.25">
      <c r="A13" t="s">
        <v>124</v>
      </c>
    </row>
    <row r="14" spans="1:1" x14ac:dyDescent="0.25">
      <c r="A14" t="s">
        <v>122</v>
      </c>
    </row>
    <row r="15" spans="1:1" x14ac:dyDescent="0.25">
      <c r="A15" t="s">
        <v>138</v>
      </c>
    </row>
    <row r="16" spans="1:1" x14ac:dyDescent="0.25">
      <c r="A16" t="s">
        <v>158</v>
      </c>
    </row>
    <row r="17" spans="1:1" x14ac:dyDescent="0.25">
      <c r="A17" t="s">
        <v>174</v>
      </c>
    </row>
    <row r="18" spans="1:1" x14ac:dyDescent="0.25">
      <c r="A18" t="s">
        <v>260</v>
      </c>
    </row>
    <row r="19" spans="1:1" x14ac:dyDescent="0.25">
      <c r="A19" t="s">
        <v>178</v>
      </c>
    </row>
    <row r="20" spans="1:1" x14ac:dyDescent="0.25">
      <c r="A20" t="s">
        <v>180</v>
      </c>
    </row>
    <row r="21" spans="1:1" x14ac:dyDescent="0.25">
      <c r="A21" t="s">
        <v>196</v>
      </c>
    </row>
    <row r="22" spans="1:1" x14ac:dyDescent="0.25">
      <c r="A22" s="3" t="s">
        <v>200</v>
      </c>
    </row>
    <row r="23" spans="1:1" x14ac:dyDescent="0.25">
      <c r="A23" t="s">
        <v>208</v>
      </c>
    </row>
    <row r="24" spans="1:1" x14ac:dyDescent="0.25">
      <c r="A24" t="s">
        <v>60</v>
      </c>
    </row>
    <row r="25" spans="1:1" x14ac:dyDescent="0.25">
      <c r="A25" t="s">
        <v>206</v>
      </c>
    </row>
    <row r="26" spans="1:1" x14ac:dyDescent="0.25">
      <c r="A26" t="s">
        <v>212</v>
      </c>
    </row>
    <row r="27" spans="1:1" x14ac:dyDescent="0.25">
      <c r="A27" t="s">
        <v>214</v>
      </c>
    </row>
    <row r="28" spans="1:1" x14ac:dyDescent="0.25">
      <c r="A28" t="s">
        <v>244</v>
      </c>
    </row>
    <row r="29" spans="1:1" x14ac:dyDescent="0.25">
      <c r="A29" t="s">
        <v>242</v>
      </c>
    </row>
    <row r="30" spans="1:1" x14ac:dyDescent="0.25">
      <c r="A30" t="s">
        <v>268</v>
      </c>
    </row>
    <row r="31" spans="1:1" x14ac:dyDescent="0.25">
      <c r="A31" t="s">
        <v>272</v>
      </c>
    </row>
    <row r="32" spans="1:1" x14ac:dyDescent="0.25">
      <c r="A32" t="s">
        <v>276</v>
      </c>
    </row>
    <row r="33" spans="1:1" x14ac:dyDescent="0.25">
      <c r="A33" t="s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201-845D-4441-A1D4-B28296720915}">
  <dimension ref="A1:A33"/>
  <sheetViews>
    <sheetView workbookViewId="0">
      <selection sqref="A1:A33"/>
    </sheetView>
  </sheetViews>
  <sheetFormatPr defaultRowHeight="15" x14ac:dyDescent="0.25"/>
  <cols>
    <col min="1" max="1" width="66.7109375" bestFit="1" customWidth="1"/>
  </cols>
  <sheetData>
    <row r="1" spans="1:1" x14ac:dyDescent="0.25">
      <c r="A1" t="s">
        <v>194</v>
      </c>
    </row>
    <row r="2" spans="1:1" x14ac:dyDescent="0.25">
      <c r="A2" t="s">
        <v>74</v>
      </c>
    </row>
    <row r="3" spans="1:1" x14ac:dyDescent="0.25">
      <c r="A3" t="s">
        <v>21</v>
      </c>
    </row>
    <row r="4" spans="1:1" x14ac:dyDescent="0.25">
      <c r="A4" t="s">
        <v>307</v>
      </c>
    </row>
    <row r="5" spans="1:1" x14ac:dyDescent="0.25">
      <c r="A5" t="s">
        <v>33</v>
      </c>
    </row>
    <row r="6" spans="1:1" x14ac:dyDescent="0.25">
      <c r="A6" t="s">
        <v>45</v>
      </c>
    </row>
    <row r="7" spans="1:1" x14ac:dyDescent="0.25">
      <c r="A7" t="s">
        <v>323</v>
      </c>
    </row>
    <row r="8" spans="1:1" x14ac:dyDescent="0.25">
      <c r="A8" t="s">
        <v>51</v>
      </c>
    </row>
    <row r="9" spans="1:1" x14ac:dyDescent="0.25">
      <c r="A9" s="3" t="s">
        <v>62</v>
      </c>
    </row>
    <row r="10" spans="1:1" x14ac:dyDescent="0.25">
      <c r="A10" t="s">
        <v>56</v>
      </c>
    </row>
    <row r="11" spans="1:1" x14ac:dyDescent="0.25">
      <c r="A11" t="s">
        <v>72</v>
      </c>
    </row>
    <row r="12" spans="1:1" x14ac:dyDescent="0.25">
      <c r="A12" t="s">
        <v>611</v>
      </c>
    </row>
    <row r="13" spans="1:1" x14ac:dyDescent="0.25">
      <c r="A13" t="s">
        <v>124</v>
      </c>
    </row>
    <row r="14" spans="1:1" x14ac:dyDescent="0.25">
      <c r="A14" t="s">
        <v>122</v>
      </c>
    </row>
    <row r="15" spans="1:1" x14ac:dyDescent="0.25">
      <c r="A15" t="s">
        <v>138</v>
      </c>
    </row>
    <row r="16" spans="1:1" x14ac:dyDescent="0.25">
      <c r="A16" t="s">
        <v>158</v>
      </c>
    </row>
    <row r="17" spans="1:1" x14ac:dyDescent="0.25">
      <c r="A17" t="s">
        <v>174</v>
      </c>
    </row>
    <row r="18" spans="1:1" x14ac:dyDescent="0.25">
      <c r="A18" t="s">
        <v>260</v>
      </c>
    </row>
    <row r="19" spans="1:1" x14ac:dyDescent="0.25">
      <c r="A19" t="s">
        <v>178</v>
      </c>
    </row>
    <row r="20" spans="1:1" x14ac:dyDescent="0.25">
      <c r="A20" t="s">
        <v>180</v>
      </c>
    </row>
    <row r="21" spans="1:1" x14ac:dyDescent="0.25">
      <c r="A21" t="s">
        <v>196</v>
      </c>
    </row>
    <row r="22" spans="1:1" x14ac:dyDescent="0.25">
      <c r="A22" s="3" t="s">
        <v>200</v>
      </c>
    </row>
    <row r="23" spans="1:1" x14ac:dyDescent="0.25">
      <c r="A23" t="s">
        <v>208</v>
      </c>
    </row>
    <row r="24" spans="1:1" x14ac:dyDescent="0.25">
      <c r="A24" t="s">
        <v>60</v>
      </c>
    </row>
    <row r="25" spans="1:1" x14ac:dyDescent="0.25">
      <c r="A25" t="s">
        <v>206</v>
      </c>
    </row>
    <row r="26" spans="1:1" x14ac:dyDescent="0.25">
      <c r="A26" t="s">
        <v>212</v>
      </c>
    </row>
    <row r="27" spans="1:1" x14ac:dyDescent="0.25">
      <c r="A27" t="s">
        <v>214</v>
      </c>
    </row>
    <row r="28" spans="1:1" x14ac:dyDescent="0.25">
      <c r="A28" t="s">
        <v>244</v>
      </c>
    </row>
    <row r="29" spans="1:1" x14ac:dyDescent="0.25">
      <c r="A29" t="s">
        <v>242</v>
      </c>
    </row>
    <row r="30" spans="1:1" x14ac:dyDescent="0.25">
      <c r="A30" t="s">
        <v>268</v>
      </c>
    </row>
    <row r="31" spans="1:1" x14ac:dyDescent="0.25">
      <c r="A31" t="s">
        <v>272</v>
      </c>
    </row>
    <row r="32" spans="1:1" x14ac:dyDescent="0.25">
      <c r="A32" t="s">
        <v>276</v>
      </c>
    </row>
    <row r="33" spans="1:1" x14ac:dyDescent="0.25">
      <c r="A33" t="s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4C1A-2F01-4880-8F36-40B118B86A6C}">
  <sheetPr filterMode="1"/>
  <dimension ref="A1:E40"/>
  <sheetViews>
    <sheetView workbookViewId="0">
      <selection activeCell="A2" sqref="A2:A40"/>
    </sheetView>
  </sheetViews>
  <sheetFormatPr defaultRowHeight="15" x14ac:dyDescent="0.25"/>
  <cols>
    <col min="1" max="1" width="106.140625" bestFit="1" customWidth="1"/>
    <col min="2" max="2" width="66.7109375" bestFit="1" customWidth="1"/>
    <col min="4" max="4" width="12.5703125" bestFit="1" customWidth="1"/>
  </cols>
  <sheetData>
    <row r="1" spans="1:5" x14ac:dyDescent="0.25">
      <c r="A1" t="s">
        <v>569</v>
      </c>
      <c r="B1" t="s">
        <v>1</v>
      </c>
      <c r="C1" t="s">
        <v>722</v>
      </c>
      <c r="D1" t="s">
        <v>724</v>
      </c>
      <c r="E1" t="s">
        <v>727</v>
      </c>
    </row>
    <row r="2" spans="1:5" x14ac:dyDescent="0.25">
      <c r="A2" t="s">
        <v>579</v>
      </c>
      <c r="B2" s="3" t="s">
        <v>21</v>
      </c>
      <c r="E2" t="s">
        <v>732</v>
      </c>
    </row>
    <row r="3" spans="1:5" hidden="1" x14ac:dyDescent="0.25">
      <c r="A3" t="s">
        <v>617</v>
      </c>
      <c r="B3" t="s">
        <v>307</v>
      </c>
      <c r="D3" t="s">
        <v>725</v>
      </c>
      <c r="E3" t="s">
        <v>732</v>
      </c>
    </row>
    <row r="4" spans="1:5" hidden="1" x14ac:dyDescent="0.25">
      <c r="A4" t="s">
        <v>619</v>
      </c>
      <c r="B4" t="s">
        <v>33</v>
      </c>
      <c r="D4" t="s">
        <v>725</v>
      </c>
      <c r="E4" t="s">
        <v>732</v>
      </c>
    </row>
    <row r="5" spans="1:5" x14ac:dyDescent="0.25">
      <c r="A5" t="s">
        <v>580</v>
      </c>
      <c r="B5" s="3" t="s">
        <v>45</v>
      </c>
      <c r="E5" t="s">
        <v>732</v>
      </c>
    </row>
    <row r="6" spans="1:5" x14ac:dyDescent="0.25">
      <c r="A6" t="s">
        <v>581</v>
      </c>
      <c r="B6" s="3" t="s">
        <v>45</v>
      </c>
      <c r="E6" t="s">
        <v>732</v>
      </c>
    </row>
    <row r="7" spans="1:5" hidden="1" x14ac:dyDescent="0.25">
      <c r="A7" t="s">
        <v>582</v>
      </c>
      <c r="B7" t="s">
        <v>323</v>
      </c>
      <c r="D7" t="s">
        <v>725</v>
      </c>
      <c r="E7" t="s">
        <v>732</v>
      </c>
    </row>
    <row r="8" spans="1:5" x14ac:dyDescent="0.25">
      <c r="A8" t="s">
        <v>583</v>
      </c>
      <c r="B8" t="s">
        <v>51</v>
      </c>
      <c r="E8" t="s">
        <v>733</v>
      </c>
    </row>
    <row r="9" spans="1:5" x14ac:dyDescent="0.25">
      <c r="A9" t="s">
        <v>584</v>
      </c>
      <c r="B9" t="s">
        <v>56</v>
      </c>
      <c r="E9" t="s">
        <v>732</v>
      </c>
    </row>
    <row r="10" spans="1:5" x14ac:dyDescent="0.25">
      <c r="A10" t="s">
        <v>600</v>
      </c>
      <c r="B10" t="s">
        <v>60</v>
      </c>
      <c r="E10" t="s">
        <v>735</v>
      </c>
    </row>
    <row r="11" spans="1:5" x14ac:dyDescent="0.25">
      <c r="A11" t="s">
        <v>621</v>
      </c>
      <c r="B11" s="3" t="s">
        <v>62</v>
      </c>
      <c r="E11" t="s">
        <v>732</v>
      </c>
    </row>
    <row r="12" spans="1:5" x14ac:dyDescent="0.25">
      <c r="A12" t="s">
        <v>620</v>
      </c>
      <c r="B12" s="3" t="s">
        <v>64</v>
      </c>
      <c r="E12" t="s">
        <v>732</v>
      </c>
    </row>
    <row r="13" spans="1:5" x14ac:dyDescent="0.25">
      <c r="A13" t="s">
        <v>585</v>
      </c>
      <c r="B13" s="3" t="s">
        <v>72</v>
      </c>
      <c r="E13" t="s">
        <v>732</v>
      </c>
    </row>
    <row r="14" spans="1:5" x14ac:dyDescent="0.25">
      <c r="A14" t="s">
        <v>578</v>
      </c>
      <c r="B14" s="3" t="s">
        <v>74</v>
      </c>
      <c r="E14" t="s">
        <v>732</v>
      </c>
    </row>
    <row r="15" spans="1:5" hidden="1" x14ac:dyDescent="0.25">
      <c r="A15" t="s">
        <v>586</v>
      </c>
      <c r="B15" s="3" t="s">
        <v>74</v>
      </c>
      <c r="C15" t="s">
        <v>723</v>
      </c>
      <c r="E15" t="s">
        <v>734</v>
      </c>
    </row>
    <row r="16" spans="1:5" x14ac:dyDescent="0.25">
      <c r="A16" t="s">
        <v>622</v>
      </c>
      <c r="B16" s="3" t="s">
        <v>82</v>
      </c>
      <c r="E16" t="s">
        <v>732</v>
      </c>
    </row>
    <row r="17" spans="1:5" x14ac:dyDescent="0.25">
      <c r="A17" t="s">
        <v>591</v>
      </c>
      <c r="B17" s="3" t="s">
        <v>122</v>
      </c>
      <c r="E17" t="s">
        <v>732</v>
      </c>
    </row>
    <row r="18" spans="1:5" x14ac:dyDescent="0.25">
      <c r="A18" t="s">
        <v>590</v>
      </c>
      <c r="B18" s="3" t="s">
        <v>124</v>
      </c>
      <c r="E18" t="s">
        <v>732</v>
      </c>
    </row>
    <row r="19" spans="1:5" hidden="1" x14ac:dyDescent="0.25">
      <c r="A19" t="s">
        <v>592</v>
      </c>
      <c r="B19" t="s">
        <v>138</v>
      </c>
      <c r="D19" t="s">
        <v>725</v>
      </c>
      <c r="E19" t="s">
        <v>735</v>
      </c>
    </row>
    <row r="20" spans="1:5" x14ac:dyDescent="0.25">
      <c r="A20" t="s">
        <v>593</v>
      </c>
      <c r="B20" t="s">
        <v>158</v>
      </c>
      <c r="E20" t="s">
        <v>732</v>
      </c>
    </row>
    <row r="21" spans="1:5" x14ac:dyDescent="0.25">
      <c r="A21" t="s">
        <v>594</v>
      </c>
      <c r="B21" s="3" t="s">
        <v>174</v>
      </c>
      <c r="E21" t="s">
        <v>732</v>
      </c>
    </row>
    <row r="22" spans="1:5" x14ac:dyDescent="0.25">
      <c r="A22" t="s">
        <v>596</v>
      </c>
      <c r="B22" t="s">
        <v>178</v>
      </c>
      <c r="E22" t="s">
        <v>733</v>
      </c>
    </row>
    <row r="23" spans="1:5" x14ac:dyDescent="0.25">
      <c r="A23" t="s">
        <v>597</v>
      </c>
      <c r="B23" t="s">
        <v>180</v>
      </c>
      <c r="E23" t="s">
        <v>733</v>
      </c>
    </row>
    <row r="24" spans="1:5" x14ac:dyDescent="0.25">
      <c r="A24" t="s">
        <v>577</v>
      </c>
      <c r="B24" t="s">
        <v>194</v>
      </c>
      <c r="E24" t="s">
        <v>732</v>
      </c>
    </row>
    <row r="25" spans="1:5" x14ac:dyDescent="0.25">
      <c r="A25" t="s">
        <v>598</v>
      </c>
      <c r="B25" s="3" t="s">
        <v>196</v>
      </c>
      <c r="E25" t="s">
        <v>732</v>
      </c>
    </row>
    <row r="26" spans="1:5" x14ac:dyDescent="0.25">
      <c r="A26" t="s">
        <v>623</v>
      </c>
      <c r="B26" s="3" t="s">
        <v>200</v>
      </c>
      <c r="E26" t="s">
        <v>732</v>
      </c>
    </row>
    <row r="27" spans="1:5" hidden="1" x14ac:dyDescent="0.25">
      <c r="A27" t="s">
        <v>588</v>
      </c>
      <c r="B27" s="3" t="s">
        <v>206</v>
      </c>
      <c r="C27" t="s">
        <v>723</v>
      </c>
      <c r="E27" t="s">
        <v>734</v>
      </c>
    </row>
    <row r="28" spans="1:5" x14ac:dyDescent="0.25">
      <c r="A28" t="s">
        <v>601</v>
      </c>
      <c r="B28" s="3" t="s">
        <v>206</v>
      </c>
      <c r="E28" t="s">
        <v>732</v>
      </c>
    </row>
    <row r="29" spans="1:5" x14ac:dyDescent="0.25">
      <c r="A29" t="s">
        <v>599</v>
      </c>
      <c r="B29" s="3" t="s">
        <v>208</v>
      </c>
      <c r="E29" t="s">
        <v>732</v>
      </c>
    </row>
    <row r="30" spans="1:5" x14ac:dyDescent="0.25">
      <c r="A30" t="s">
        <v>602</v>
      </c>
      <c r="B30" s="3" t="s">
        <v>212</v>
      </c>
      <c r="E30" t="s">
        <v>732</v>
      </c>
    </row>
    <row r="31" spans="1:5" x14ac:dyDescent="0.25">
      <c r="A31" t="s">
        <v>603</v>
      </c>
      <c r="B31" t="s">
        <v>214</v>
      </c>
      <c r="E31" t="s">
        <v>732</v>
      </c>
    </row>
    <row r="32" spans="1:5" x14ac:dyDescent="0.25">
      <c r="A32" t="s">
        <v>605</v>
      </c>
      <c r="B32" t="s">
        <v>242</v>
      </c>
      <c r="E32" t="s">
        <v>732</v>
      </c>
    </row>
    <row r="33" spans="1:5" hidden="1" x14ac:dyDescent="0.25">
      <c r="A33" t="s">
        <v>604</v>
      </c>
      <c r="B33" s="3" t="s">
        <v>244</v>
      </c>
      <c r="C33" t="s">
        <v>736</v>
      </c>
      <c r="E33" t="s">
        <v>732</v>
      </c>
    </row>
    <row r="34" spans="1:5" x14ac:dyDescent="0.25">
      <c r="A34" t="s">
        <v>606</v>
      </c>
      <c r="B34" t="s">
        <v>246</v>
      </c>
      <c r="E34" t="s">
        <v>732</v>
      </c>
    </row>
    <row r="35" spans="1:5" x14ac:dyDescent="0.25">
      <c r="A35" t="s">
        <v>595</v>
      </c>
      <c r="B35" s="3" t="s">
        <v>260</v>
      </c>
      <c r="E35" t="s">
        <v>732</v>
      </c>
    </row>
    <row r="36" spans="1:5" hidden="1" x14ac:dyDescent="0.25">
      <c r="A36" t="s">
        <v>589</v>
      </c>
      <c r="B36" s="3" t="s">
        <v>260</v>
      </c>
      <c r="C36" t="s">
        <v>723</v>
      </c>
      <c r="E36" t="s">
        <v>732</v>
      </c>
    </row>
    <row r="37" spans="1:5" x14ac:dyDescent="0.25">
      <c r="A37" t="s">
        <v>607</v>
      </c>
      <c r="B37" s="3" t="s">
        <v>272</v>
      </c>
      <c r="E37" t="s">
        <v>735</v>
      </c>
    </row>
    <row r="38" spans="1:5" x14ac:dyDescent="0.25">
      <c r="A38" t="s">
        <v>608</v>
      </c>
      <c r="B38" s="3" t="s">
        <v>276</v>
      </c>
      <c r="E38" t="s">
        <v>732</v>
      </c>
    </row>
    <row r="39" spans="1:5" hidden="1" x14ac:dyDescent="0.25">
      <c r="A39" t="s">
        <v>587</v>
      </c>
      <c r="B39" s="3" t="s">
        <v>726</v>
      </c>
      <c r="D39" t="s">
        <v>725</v>
      </c>
      <c r="E39" t="s">
        <v>732</v>
      </c>
    </row>
    <row r="40" spans="1:5" x14ac:dyDescent="0.25">
      <c r="A40" t="s">
        <v>609</v>
      </c>
      <c r="B40" t="s">
        <v>286</v>
      </c>
      <c r="E40" t="s">
        <v>732</v>
      </c>
    </row>
  </sheetData>
  <autoFilter ref="A1:H40" xr:uid="{5D554C1A-2F01-4880-8F36-40B118B86A6C}">
    <filterColumn colId="2">
      <filters blank="1"/>
    </filterColumn>
    <filterColumn colId="3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20April</vt:lpstr>
      <vt:lpstr>1.master_list_7May</vt:lpstr>
      <vt:lpstr>2.masterfirm</vt:lpstr>
      <vt:lpstr>3.simple_text_analysis</vt:lpstr>
      <vt:lpstr>Sheet2</vt:lpstr>
      <vt:lpstr>Sheet1</vt:lpstr>
      <vt:lpstr>4.pdf_list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Nguyen</dc:creator>
  <cp:lastModifiedBy>Quyen Nguyen</cp:lastModifiedBy>
  <dcterms:created xsi:type="dcterms:W3CDTF">2024-04-28T22:15:51Z</dcterms:created>
  <dcterms:modified xsi:type="dcterms:W3CDTF">2025-09-09T01:26:50Z</dcterms:modified>
</cp:coreProperties>
</file>