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QuyenN\Offline work\2. GNS\5-Climate risk disclosure\result\"/>
    </mc:Choice>
  </mc:AlternateContent>
  <xr:revisionPtr revIDLastSave="0" documentId="13_ncr:1_{3DC0F3A7-28CA-48B6-A5A0-715A4C84F814}" xr6:coauthVersionLast="47" xr6:coauthVersionMax="47" xr10:uidLastSave="{00000000-0000-0000-0000-000000000000}"/>
  <bookViews>
    <workbookView xWindow="28680" yWindow="-120" windowWidth="29040" windowHeight="15840" activeTab="1" xr2:uid="{DF7F727A-DA3F-4A30-8863-1A8FC5AB9C8C}"/>
  </bookViews>
  <sheets>
    <sheet name="Sheet2" sheetId="6" r:id="rId1"/>
    <sheet name="standardized_list" sheetId="5" r:id="rId2"/>
    <sheet name="query_df_final" sheetId="4" r:id="rId3"/>
    <sheet name="2023" sheetId="1" r:id="rId4"/>
    <sheet name="2024" sheetId="2" r:id="rId5"/>
    <sheet name="TestFramework" sheetId="3" r:id="rId6"/>
  </sheets>
  <definedNames>
    <definedName name="_xlnm._FilterDatabase" localSheetId="4" hidden="1">'2024'!$A$3:$L$41</definedName>
    <definedName name="_xlnm._FilterDatabase" localSheetId="1" hidden="1">standardized_list!$A$1:$B$122</definedName>
    <definedName name="_xlnm._FilterDatabase" localSheetId="5" hidden="1">TestFramework!$A$1:$D$81</definedName>
  </definedNames>
  <calcPr calcId="191028"/>
  <pivotCaches>
    <pivotCache cacheId="2"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 i="2" l="1"/>
  <c r="B11" i="2"/>
  <c r="B12" i="2" s="1"/>
  <c r="B13" i="2" s="1"/>
  <c r="B14" i="2" s="1"/>
  <c r="B15" i="2" s="1"/>
  <c r="B16" i="2" s="1"/>
  <c r="B17" i="2" s="1"/>
  <c r="B18" i="2" s="1"/>
  <c r="B20" i="2" s="1"/>
  <c r="B21" i="2" s="1"/>
  <c r="B6" i="2"/>
  <c r="B22" i="2" l="1"/>
  <c r="B23" i="2" s="1"/>
  <c r="B19" i="2" s="1"/>
  <c r="B24" i="2" s="1"/>
  <c r="B25" i="2" s="1"/>
  <c r="B26" i="2" s="1"/>
  <c r="B27" i="2" s="1"/>
  <c r="B28" i="2" s="1"/>
  <c r="B29" i="2" s="1"/>
  <c r="B30" i="2" s="1"/>
  <c r="B31" i="2" s="1"/>
  <c r="B32" i="2" s="1"/>
  <c r="B33" i="2" s="1"/>
  <c r="B34" i="2" s="1"/>
  <c r="B35" i="2" s="1"/>
  <c r="B36" i="2" s="1"/>
  <c r="B37" i="2" s="1"/>
  <c r="B38" i="2" s="1"/>
  <c r="B39" i="2" s="1"/>
  <c r="B40" i="2" s="1"/>
  <c r="B4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tc={F0F8A2D6-0AA2-4B5F-8EF5-B8FA4D297744}</author>
    <author>tc={EB0723A6-4807-406C-B3C4-B9F2F86A1E03}</author>
  </authors>
  <commentList>
    <comment ref="U3" authorId="0" shapeId="0" xr:uid="{F0F8A2D6-0AA2-4B5F-8EF5-B8FA4D297744}">
      <text>
        <t>[Threaded comment]
Your version of Excel allows you to read this threaded comment; however, any edits to it will get removed if the file is opened in a newer version of Excel. Learn more: https://go.microsoft.com/fwlink/?linkid=870924
Comment:
    Test with chatGPT</t>
      </text>
    </comment>
    <comment ref="V3" authorId="1" shapeId="0" xr:uid="{EB0723A6-4807-406C-B3C4-B9F2F86A1E03}">
      <text>
        <t>[Threaded comment]
Your version of Excel allows you to read this threaded comment; however, any edits to it will get removed if the file is opened in a newer version of Excel. Learn more: https://go.microsoft.com/fwlink/?linkid=870924
Comment:
    Test with chatGPT</t>
      </text>
    </comment>
  </commentList>
</comments>
</file>

<file path=xl/sharedStrings.xml><?xml version="1.0" encoding="utf-8"?>
<sst xmlns="http://schemas.openxmlformats.org/spreadsheetml/2006/main" count="1301" uniqueCount="698">
  <si>
    <t xml:space="preserve">NZ Super Fund </t>
  </si>
  <si>
    <t>BNZ</t>
  </si>
  <si>
    <t>ASB</t>
  </si>
  <si>
    <t xml:space="preserve">IAG Insurance </t>
  </si>
  <si>
    <t>Auckland Airport</t>
  </si>
  <si>
    <t xml:space="preserve">Zespri </t>
  </si>
  <si>
    <t xml:space="preserve">Port of Tauranga </t>
  </si>
  <si>
    <t xml:space="preserve">Contact Energy </t>
  </si>
  <si>
    <t>Scenario team (data provider, and model  (local or global) used)</t>
  </si>
  <si>
    <t xml:space="preserve">Centre for Sustainable Finance </t>
  </si>
  <si>
    <t xml:space="preserve">The draft Insurance Council of New Zealand (ICNZ) Shared Climate Scenarios for the Insurance Sector </t>
  </si>
  <si>
    <t>Not evident.</t>
  </si>
  <si>
    <t>Agri-adaptation Roadmap</t>
  </si>
  <si>
    <t xml:space="preserve">Not evident. </t>
  </si>
  <si>
    <r>
      <rPr>
        <b/>
        <sz val="11"/>
        <color rgb="FF000000"/>
        <rFont val="Calibri"/>
        <family val="2"/>
        <scheme val="minor"/>
      </rPr>
      <t>Scenario terms (</t>
    </r>
    <r>
      <rPr>
        <b/>
        <sz val="11"/>
        <color rgb="FFFF0000"/>
        <rFont val="Calibri"/>
        <family val="2"/>
        <scheme val="minor"/>
      </rPr>
      <t>often differs for transitional and</t>
    </r>
    <r>
      <rPr>
        <b/>
        <sz val="11"/>
        <color rgb="FF000000"/>
        <rFont val="Calibri"/>
        <family val="2"/>
        <scheme val="minor"/>
      </rPr>
      <t xml:space="preserve"> physical risks)</t>
    </r>
  </si>
  <si>
    <t>2°, 3° and 4° scenarios. Defined as "Average" and "Aggressive" for physical risks</t>
  </si>
  <si>
    <t>1.5°  scenario and a high-end 4°  scenario</t>
  </si>
  <si>
    <t>RCP 4.5 and RCP 8.5</t>
  </si>
  <si>
    <t>Orderly (RCP2.6, +1.5°C), Disorderly (RCP4.5, +2°C), Hothouse (RCP6.0, +3°C)</t>
  </si>
  <si>
    <t>RCP 2.6, RCP 4.5, RCP 8.5</t>
  </si>
  <si>
    <t>Moderate’ 2°C scenario (RCP 4.5) and ‘High’ 4°C scenario (RCP 8.5)</t>
  </si>
  <si>
    <t>Scenario 1: The world maintains an increase of 1.5°C, Scenario 2: holding an increase between 2°C and 4°C, Scenario 3: increase goes beyond 4°C. But also RCP 8.5 and RCP 2.5 for physical risk assessment done by NIWA</t>
  </si>
  <si>
    <t>What are the sorts of scenerioes they are using</t>
  </si>
  <si>
    <t>Time frames</t>
  </si>
  <si>
    <t>Present, 2050 and 2100 "where possible"</t>
  </si>
  <si>
    <t>2030 and 2055</t>
  </si>
  <si>
    <t xml:space="preserve">2020-2030, 2035-2065, 2081-2100. </t>
  </si>
  <si>
    <t>Present, 2050, 2070</t>
  </si>
  <si>
    <t xml:space="preserve">Short term 1-5 years, Medium term 5-10 years, Long term 10-30 years. </t>
  </si>
  <si>
    <t xml:space="preserve">Medium to long term (30-80 year) </t>
  </si>
  <si>
    <t>Short term, Medium term (2021-2035), Long term (2035 onwards)</t>
  </si>
  <si>
    <t xml:space="preserve">Physical risks listed </t>
  </si>
  <si>
    <t>Extreme weather events, rising sea levls and changing weather (IPCC AR5)</t>
  </si>
  <si>
    <t xml:space="preserve">SLR and "extreme coastal inundation" </t>
  </si>
  <si>
    <t xml:space="preserve">Drought, heat stress and flooding. </t>
  </si>
  <si>
    <t xml:space="preserve">SLR and coastal inundation, flooding and storm damage, extreme wildfire. </t>
  </si>
  <si>
    <t xml:space="preserve">Physical inundation and flooding of assets due to sea-level rise, increased frequency and intensity of storm and rainfall events, variable wind patterns, decreased rainfall, rising mean temperatures. </t>
  </si>
  <si>
    <t>Extreme weather events, SLR, biosecurity incursions from invasive pests and pathogens from changing climate conditions</t>
  </si>
  <si>
    <t xml:space="preserve">Temperature increases, access to natural resource changes, intensity of storms. </t>
  </si>
  <si>
    <r>
      <rPr>
        <sz val="11"/>
        <color rgb="FF000000"/>
        <rFont val="Calibri"/>
        <family val="2"/>
        <scheme val="minor"/>
      </rPr>
      <t xml:space="preserve">divide up to figure out who is consulting on </t>
    </r>
    <r>
      <rPr>
        <i/>
        <sz val="11"/>
        <color rgb="FF000000"/>
        <rFont val="Calibri"/>
        <family val="2"/>
        <scheme val="minor"/>
      </rPr>
      <t>what</t>
    </r>
    <r>
      <rPr>
        <sz val="11"/>
        <color rgb="FF000000"/>
        <rFont val="Calibri"/>
        <family val="2"/>
        <scheme val="minor"/>
      </rPr>
      <t xml:space="preserve"> risk</t>
    </r>
  </si>
  <si>
    <t>CRI used</t>
  </si>
  <si>
    <t>NIWA</t>
  </si>
  <si>
    <t>Not evident</t>
  </si>
  <si>
    <t xml:space="preserve">NIWA </t>
  </si>
  <si>
    <t xml:space="preserve">Consulting firm used </t>
  </si>
  <si>
    <t>EY (plus XDI Cross Dependency Initiatives and Climate Valuation)</t>
  </si>
  <si>
    <t>EY and Climateworks Australia</t>
  </si>
  <si>
    <t>KPMG</t>
  </si>
  <si>
    <t xml:space="preserve">Acute or chronic </t>
  </si>
  <si>
    <t xml:space="preserve">Data sets listed </t>
  </si>
  <si>
    <t xml:space="preserve">IPCC AR5, Network for Greening the Financial System (NGFS), MSCI, Climate Change Comission. </t>
  </si>
  <si>
    <t>Deep South Challenge, SSP1-1.9 and SSP5-8.5. CCC, MFE and MBIE references cited.</t>
  </si>
  <si>
    <t>Manaaki Whenua, NIWA, LINZ, JBA Risk Management, CLIMsystems.</t>
  </si>
  <si>
    <t>IPCC</t>
  </si>
  <si>
    <t>IPCC AR5</t>
  </si>
  <si>
    <t xml:space="preserve">Climate Change Commission’s scenarios and Transpower’s Whakamana i Te Mauri Hiko </t>
  </si>
  <si>
    <t xml:space="preserve">Finacials </t>
  </si>
  <si>
    <t>Implied - "In the worst-case scenario (2oC, late action, aggressive physical risk), value
is expected to decrease by 12.7%."</t>
  </si>
  <si>
    <t>Detailed for the risks assessed, e.g. $38,125m for residential properties</t>
  </si>
  <si>
    <t>Graphs modelling costs in different scenaios. Percentages of portfolio exposed rather than exact figures e.g. 2.3% of ASB properties exposed to inland flooding.</t>
  </si>
  <si>
    <t>"Under the three scenarios we might
expect an increase in our weather-related peril Annual Average Loss (AAL) of
between 26% and 34% by 2050, in FY22 dollars." "Home insurance in Australia can increase up to 23% in a +2°C scenario, and up to 43% in a +3°C scenario"</t>
  </si>
  <si>
    <t>No</t>
  </si>
  <si>
    <t>The scenarios were assessed against publicly available data and insights provided through interviews and surveys with key stakeholders</t>
  </si>
  <si>
    <t>The modelling shows that under all three scenarios Contact’s sales, generation and EBITDAF1 continue to grow. Contact’s sales, generation and EBITDAF grow the most in Scenario 1, while Scenario 3 shows the lowest growth.</t>
  </si>
  <si>
    <t xml:space="preserve">is it quantative or qualative </t>
  </si>
  <si>
    <t xml:space="preserve">Comprehensive </t>
  </si>
  <si>
    <t>Next steps</t>
  </si>
  <si>
    <t>We are dedicated to a continued focus and evolution in our approach as better data and best practice emerge … continuing to develop a view of how specific industries will need to evolve in response to climate change -  particularly agriculture and forestry assets.</t>
  </si>
  <si>
    <t>We expect to continue to monitor and analyse the physical risks that may be material to our business and expect to expand our analysis to address additional physical risks, including drought and flood risk, in future reports.</t>
  </si>
  <si>
    <t xml:space="preserve">We are building our ability to understand climate risk, including through investing in specialist skills and acquiring third-party data to help us analyse physical climate risk at a more granular level. A focus in FY23 is beginning to integrate this into business practices and processes to enhance how we measure, manage and report climate risk exposures. As the result of this work, we expect analysis in this report will be superseded. 
As climate science progresses and higher quality data becomes available, we aim to include up-to-date projections of physical climate impacts on New Zealand. </t>
  </si>
  <si>
    <t xml:space="preserve">IAG intends to work with the New Zealand scientific and engineering community to ensure our future models are refined to reflect the growing science in these areas. For example, Ex-Tropical cyclones are possibly well underestimated in the historical loss record and wildfires have only just started to emerge in recent years. Sea level rise is not captured explicitly in the modelling, except for estuarine areas as part of riverine flooding. The combined effects of wind with water are not well understood and there may be significant non-linear increases in damage under future-climate scenarios where heavier rainfall and stronger winds are likely to occur concurrently. </t>
  </si>
  <si>
    <t xml:space="preserve">To enable Auckland Airport to better understand our resilience as a business to climate change, we intend to advance our climate scenario analysis incorporating both transition risk and physical climate change modelling. These scenarios are not intended to predict the future but rather explore possible futures against which to test our business strategy. </t>
  </si>
  <si>
    <t>Climate change adaptation is key to
our aspiration of delivering long-term
value for our investors through leading
environmental and ethical performance,
business resilience and sound financial
management</t>
  </si>
  <si>
    <t xml:space="preserve">Finacial impact certainity </t>
  </si>
  <si>
    <t>Is there a range? Error bar? Or a singal number?</t>
  </si>
  <si>
    <t>are they disclosuring/measuring direct or indirect loss?</t>
  </si>
  <si>
    <t xml:space="preserve">Transition risk? </t>
  </si>
  <si>
    <t>April 2024 Updated Framework</t>
  </si>
  <si>
    <t>Q. Do we want to include transition risk?</t>
  </si>
  <si>
    <t>Variable Type</t>
  </si>
  <si>
    <t>Desired Data</t>
  </si>
  <si>
    <t xml:space="preserve">Details </t>
  </si>
  <si>
    <t xml:space="preserve">Present or absent? </t>
  </si>
  <si>
    <t>Example in text (key words)</t>
  </si>
  <si>
    <t>Relation to FMA 2023 Guidance?</t>
  </si>
  <si>
    <t>Yes/no</t>
  </si>
  <si>
    <t>NIWA, IPCC, Mfe, CCC, Journal article, Centre for Sustainable Finance, IPCC</t>
  </si>
  <si>
    <t xml:space="preserve">A scenario analysis methodology document supporting their rationale </t>
  </si>
  <si>
    <t>Pg. 34. An explanation of why the entity believes the chosen scenarios are relevant and appropriate to assessing the resilience of the entity’s business model and strategy to climate-related risks and opportunities.</t>
  </si>
  <si>
    <t xml:space="preserve">Scenarios Variables </t>
  </si>
  <si>
    <t xml:space="preserve"> Are the scenarios based on global climate models?</t>
  </si>
  <si>
    <t>Drought, heat stress, flooding, inundation, rising sea levls, biosecurity, storm surge </t>
  </si>
  <si>
    <t>Pg.  24. Identify driving forces and determine critical uncertainties</t>
  </si>
  <si>
    <t xml:space="preserve">Are these risks diferentated between acute and chronic? </t>
  </si>
  <si>
    <t>Yes. e.g. 2020-2030, 2035-2065, 2081-2100.</t>
  </si>
  <si>
    <t xml:space="preserve">Is there a range? Error bar? Or a singal number? </t>
  </si>
  <si>
    <t>Is the CRE disclosing  direct or indirect loss?</t>
  </si>
  <si>
    <t>Commerical scoping</t>
  </si>
  <si>
    <t xml:space="preserve">Were CRIs involved in the creation of this disclosure? </t>
  </si>
  <si>
    <t>NIWA, ESR, GNS Science</t>
  </si>
  <si>
    <t>Pg. 28. Describe who the external partners and 
stakeholders were and prove the involvement 
they had in the scenario analysis process.</t>
  </si>
  <si>
    <t>Was a consultancy employed to conduct part, or all, of the disclosure?</t>
  </si>
  <si>
    <t xml:space="preserve">What parts of the disclosures (climate risk/ data provision / transition risk) are consultants commonly contracted </t>
  </si>
  <si>
    <t>Qualitative/manual search, I'm uncertain if these can be collated via AI (?)</t>
  </si>
  <si>
    <t>List of scenarios</t>
  </si>
  <si>
    <t xml:space="preserve">Model used </t>
  </si>
  <si>
    <t xml:space="preserve">Scale </t>
  </si>
  <si>
    <t>Physical risks listed</t>
  </si>
  <si>
    <t xml:space="preserve">Financial Impact  </t>
  </si>
  <si>
    <t xml:space="preserve">Indirect/Direct loss </t>
  </si>
  <si>
    <t xml:space="preserve">Consulting areas </t>
  </si>
  <si>
    <t>Length of document</t>
  </si>
  <si>
    <t>Separate document / include in Annual report</t>
  </si>
  <si>
    <t>Is the climate risk disclosure issued as a separate statement or included in financial report?</t>
  </si>
  <si>
    <t xml:space="preserve">Briscoes Group </t>
  </si>
  <si>
    <t>Z Energy</t>
  </si>
  <si>
    <t>page 23-29 (6 pages)</t>
  </si>
  <si>
    <r>
      <rPr>
        <i/>
        <sz val="12"/>
        <rFont val="Calibri"/>
        <family val="2"/>
      </rPr>
      <t>Who</t>
    </r>
    <r>
      <rPr>
        <sz val="12"/>
        <rFont val="Calibri"/>
        <family val="2"/>
      </rPr>
      <t xml:space="preserve"> is consulting on </t>
    </r>
    <r>
      <rPr>
        <i/>
        <sz val="12"/>
        <rFont val="Calibri"/>
        <family val="2"/>
      </rPr>
      <t>what</t>
    </r>
    <r>
      <rPr>
        <sz val="12"/>
        <rFont val="Calibri"/>
        <family val="2"/>
      </rPr>
      <t xml:space="preserve"> risk? </t>
    </r>
  </si>
  <si>
    <t>Combined with annual report</t>
  </si>
  <si>
    <t>43 pages</t>
  </si>
  <si>
    <t>Net Zero 2050 (Orderly)
Delayed Transition
(Disorderly Category)
Current Policies (Hot
House World Category)</t>
  </si>
  <si>
    <t xml:space="preserve">Scenario provider                                           </t>
  </si>
  <si>
    <t>Network for Greening the Financial System (NGFS)</t>
  </si>
  <si>
    <t>Customized scenarios</t>
  </si>
  <si>
    <t>1.1oC by 2100</t>
  </si>
  <si>
    <t>Short-term: 1-3 years
Medium-term: 3-10 years
Long terms: &gt; 10 years</t>
  </si>
  <si>
    <t xml:space="preserve">Although we have started to feel the transitional impacts of climate change on our business relating to increased legislation
(specifically the newly introduced NZ Climate related disclosures) and have seen an increase in insurance premiums off the
back of climate-related events occurring in NZ, we have been fortunate that the physical impacts experienced by our business
have not significantly impacted operations. </t>
  </si>
  <si>
    <t>Qualitative</t>
  </si>
  <si>
    <t>Physical opportunities listed</t>
  </si>
  <si>
    <t>International influences
from climate change
and greenhouse gas
mitigation preferences (climate migration)</t>
  </si>
  <si>
    <t>Not mentioned</t>
  </si>
  <si>
    <t>Anticipated financial impact</t>
  </si>
  <si>
    <t>Current financial impact</t>
  </si>
  <si>
    <t>NA</t>
  </si>
  <si>
    <t>TCFD framework</t>
  </si>
  <si>
    <t>NIWA regional documentation</t>
  </si>
  <si>
    <t>Datasets/ invovlement</t>
  </si>
  <si>
    <t>Green Road (Net Zero 2050 orderly transition that limits global warming to 1.5°C) 
Road Block (Delayed, disorderly transition that limits global warming to below 2°C) 
Hot House (Current policies)</t>
  </si>
  <si>
    <t>1.5oC by 2100 
2oC by 2100 
Over 3oC</t>
  </si>
  <si>
    <t>Generic document variables</t>
  </si>
  <si>
    <t>Separate climate statement</t>
  </si>
  <si>
    <t>Overall document sentiment</t>
  </si>
  <si>
    <t>Overall quantitative/ qualitative</t>
  </si>
  <si>
    <t>Is the overall discussion in the document qualitative / quantitative (%) / financially quantitative ($)? (check number of digits / dollar sign in the documents )</t>
  </si>
  <si>
    <t>Qualitative: 
"Conducted qualitative assessment of the resilience of Z’s business model and strategy against three climate scenarios. This was a stand-alone process from
Z’s wider strategy development. Quantitative modeling was not undertaken."</t>
  </si>
  <si>
    <t>Combined from the Business Energy Council (BEC) 2060 scenarios (Kea and Tūī), the United Nations Intergovernmental Panel on Climate Change (IPCC) representative concentration pathways (RCP2.6 and RCP4.5), the Climate Change Projections for New Zealand, second edition report from the Ministry for the Environment (MfE).
NGFS, IEA , IPCC, CCC Tailwinds, NIWA Climate Change projections for New Zealand</t>
  </si>
  <si>
    <t>Self- developed three new temperature-aligned climate scenarios to assess its climate-related risks and opportunities and to further understand the resilience of its business model
and strategy from above.</t>
  </si>
  <si>
    <t xml:space="preserve">Baseline assumptions such as population growth and demographic shifts are assumed to be consistent across the three climate scenarios and in accordance with Statistics New Zealand projections6, adopting the approach taken by NGFS and IEA. </t>
  </si>
  <si>
    <t>Regional variations in scenarios (medium - green road, high for road block and low- hot house world)</t>
  </si>
  <si>
    <t>Reference disclosure framework</t>
  </si>
  <si>
    <t>Comprehensiveness</t>
  </si>
  <si>
    <t>In general, does the document show comprehensiveness in analysis? (rank from 1 to 5)</t>
  </si>
  <si>
    <t>What is the climate disclosure framework that is used?</t>
  </si>
  <si>
    <t>TCFD/ IFRS/SASB/ NZ FMA Standard</t>
  </si>
  <si>
    <t>Word counts/ Page counts/ Length of document</t>
  </si>
  <si>
    <t>Are the short, medium and long term risks identified? What are the rationale for these time frames?</t>
  </si>
  <si>
    <t>Short-term: 2024-2028 (Aligns with current strategic cycle) 
Medium-term: 2029-2035 (Aligns with Z’s enterprise strategic scenario analysis done as part of the development of its strategy)
Long term: 2036-2050 (Aligns with Ampol’s target and Aotearoa New Zealand’s domestic target under the Climate Change Response Act 2002.)</t>
  </si>
  <si>
    <t>What is the baseline /reference scenarios or assumptions that is used to measure the impact of climate change scenarios against ?</t>
  </si>
  <si>
    <t>Usually in sets of 3 (RCP2.6 RCP 4.5, RCP 8.5)</t>
  </si>
  <si>
    <t>Usually temperature target is described throughout and as of 2100 (1.5°, 2°, 3°/4°)</t>
  </si>
  <si>
    <t>What climate models/ integrated assessment models / macro-economic models used in the creation of scenarios?</t>
  </si>
  <si>
    <t>Damage from acute phyiscal risk (extreme events) considered?</t>
  </si>
  <si>
    <t>For instance, physical risk models (ISIMP, CLIMADA), Integrated Assessment Models (IAM- REMIND- MAgPIE, IAM-MESSAGE-GLOBIOM, IAM-GCAM, DICE) or macro-economic models (NiGEM, GEM, system dynamic model,DGSE model)</t>
  </si>
  <si>
    <t xml:space="preserve">Yes. IPCC data....or... no, NIWA local climate modelling. 
NGFS would have different resolutions as well (downscaled regional or global model). </t>
  </si>
  <si>
    <t>- Sustainable Sourcing
- Increased storminess/extreme winds
- River and pluvial flooding
 - Global supply chain risk
- Sea-level rise leading to coastal and estuarine                                                                                                                                                                                                                                                                 flooding</t>
  </si>
  <si>
    <t>Carbon price, oil price, green technology, SLR by 2m, temperature increase by 0.5oc, rainfall increase by 200mm</t>
  </si>
  <si>
    <t>- carbon price
- oil price volatility 
- technology change 
- customer attitude 
- macro economic factors 
- access to finance and insurance</t>
  </si>
  <si>
    <t>What are the main variables that are covered and drive the scenarios? (apart from global temperature outcomes)</t>
  </si>
  <si>
    <t>Global temperature outcome due to the scenarios by 2100</t>
  </si>
  <si>
    <t>Global temperature outcome due to the scenarios. Usually described as in a target by 2100, but sometimes could be mentioned / described as in now-2100 (for instance, temperature overshoot is the term used by IPCC to describe scenarios, or ‘pathways’, in which we exceed a specified global warming level – typically between 1.5 and 2°C – before returning to that level at some point in the future.)</t>
  </si>
  <si>
    <t>The costs of extreme weather across Z’s assets was also considered at this point.</t>
  </si>
  <si>
    <t>Earlier climate scenarios/ models often consider only chronic risk (for instance, SLR, temperature and rainfall change), but newer climate scenarios / models (for instance NGFS Phase 3) also include projections of potential losses from extreme events.</t>
  </si>
  <si>
    <t>Discussion of current and anticipated financial impacts</t>
  </si>
  <si>
    <r>
      <t xml:space="preserve">Pg. 30. </t>
    </r>
    <r>
      <rPr>
        <i/>
        <sz val="12"/>
        <rFont val="Calibri"/>
        <family val="2"/>
        <scheme val="minor"/>
      </rPr>
      <t>Methods and Assumptions.</t>
    </r>
    <r>
      <rPr>
        <sz val="12"/>
        <rFont val="Calibri"/>
        <family val="2"/>
        <scheme val="minor"/>
      </rPr>
      <t xml:space="preserve"> Substantiate that the climate-related scenarios are based on credible information. </t>
    </r>
  </si>
  <si>
    <r>
      <t xml:space="preserve">Pg. 34. </t>
    </r>
    <r>
      <rPr>
        <i/>
        <sz val="12"/>
        <rFont val="Calibri"/>
        <family val="2"/>
        <scheme val="minor"/>
      </rPr>
      <t>Methods and Assumptions.</t>
    </r>
    <r>
      <rPr>
        <sz val="12"/>
        <rFont val="Calibri"/>
        <family val="2"/>
        <scheme val="minor"/>
      </rPr>
      <t xml:space="preserve"> Substantiate the processes used to assess climate-related risks</t>
    </r>
  </si>
  <si>
    <r>
      <t xml:space="preserve">Pg. 37. </t>
    </r>
    <r>
      <rPr>
        <i/>
        <sz val="12"/>
        <rFont val="Calibri"/>
        <family val="2"/>
        <scheme val="minor"/>
      </rPr>
      <t>Anticipated impacts and financial impacts.</t>
    </r>
    <r>
      <rPr>
        <sz val="12"/>
        <rFont val="Calibri"/>
        <family val="2"/>
        <scheme val="minor"/>
      </rPr>
      <t xml:space="preserve"> The anticipated impacts of climate-related risks and opportunities reasonably expected by the entity.</t>
    </r>
  </si>
  <si>
    <r>
      <t xml:space="preserve">Pg. 24. </t>
    </r>
    <r>
      <rPr>
        <i/>
        <sz val="12"/>
        <rFont val="Calibri"/>
        <family val="2"/>
        <scheme val="minor"/>
      </rPr>
      <t>Current impacts and financial impacts.</t>
    </r>
    <r>
      <rPr>
        <sz val="12"/>
        <rFont val="Calibri"/>
        <family val="2"/>
        <scheme val="minor"/>
      </rPr>
      <t xml:space="preserve"> If the entity is unable to disclose quantitative information, an explanation of why this is the case.31</t>
    </r>
  </si>
  <si>
    <r>
      <t xml:space="preserve">Pg. 24. </t>
    </r>
    <r>
      <rPr>
        <i/>
        <sz val="12"/>
        <rFont val="Calibri"/>
        <family val="2"/>
        <scheme val="minor"/>
      </rPr>
      <t>Current impacts and financial impacts.</t>
    </r>
    <r>
      <rPr>
        <sz val="12"/>
        <rFont val="Calibri"/>
        <family val="2"/>
        <scheme val="minor"/>
      </rPr>
      <t xml:space="preserve"> If the entity is unable to disclose quantitative information, an explanation of why this is the case.32</t>
    </r>
    <r>
      <rPr>
        <sz val="11"/>
        <color theme="1"/>
        <rFont val="Calibri"/>
        <family val="2"/>
        <scheme val="minor"/>
      </rPr>
      <t/>
    </r>
  </si>
  <si>
    <t>Nice to have /must have</t>
  </si>
  <si>
    <t>Nice to have</t>
  </si>
  <si>
    <t>Must have</t>
  </si>
  <si>
    <t>Adoption provision 1:
Current financial impacts</t>
  </si>
  <si>
    <t>Adoption provision 2:
Anticipated financial impacts</t>
  </si>
  <si>
    <t>Yes</t>
  </si>
  <si>
    <t>Adoption Provision related to Physical Risks</t>
  </si>
  <si>
    <t>This adoption provision provides an exemption from disclosing the anticipated financial impacts of climate-related risks and opportunities reasonably expected by the entity and from disclosing an explanation of why we are unable to disclose this information. It also provides an exemption from disclosing a description of the time horizons over which the anticipated financial impacts of climate related risks and opportunities could reasonably be expected to occur.</t>
  </si>
  <si>
    <t>This adoption provision provides an exemption from disclosing the current financial impacts of the physical and transition impacts identified and from disclosing an explanation of why we are unable to disclose this information.</t>
  </si>
  <si>
    <t>Justification for climate scenarios/ models</t>
  </si>
  <si>
    <t>Does the CRE provide justification for their choice of climate scenarios/ models?</t>
  </si>
  <si>
    <t>Is discussion of physical risk generic or based on the geo-locations of its assets?</t>
  </si>
  <si>
    <t>Asset base is geographically spread or located near ports at sea level, highland?</t>
  </si>
  <si>
    <t>What are the risks specific to the business due to physical hazards?</t>
  </si>
  <si>
    <t>What are the opportunities specific to the business due to physical hazards?</t>
  </si>
  <si>
    <t>Provide the list of all climate scenarios/ pathways that have been used (especially the 3rd optional scenario)</t>
  </si>
  <si>
    <t>Is the scenario provider listed?</t>
  </si>
  <si>
    <t>Baseline scenarios</t>
  </si>
  <si>
    <t>Is damage from extreme events considered in the set of climate scenarios/ pathways?</t>
  </si>
  <si>
    <t>Yes: 
- Z selected the Network for Greening the Financial System (NGFS) scenarios as the most suitable for drawing on for
quantitative analysis.</t>
  </si>
  <si>
    <t>Physical hazards relevant to the business</t>
  </si>
  <si>
    <t>Deloitte was used on scenarios 
Pattle Delamore Partners and PwC – to conduct a quantitative risk analysis of the exposure of Z’s assets
to the projected changes in sea-level rise, precipitation, drought and wind.</t>
  </si>
  <si>
    <t xml:space="preserve">Deloitte, , EY (Earnst &amp; Young), PWC (Pricewaterhouse Coopers), Tonkin + Taylor, Beca, Center for Sustainble Finance, NIWA, KPMG, WSP, PDP for flooding. </t>
  </si>
  <si>
    <t>Overall climate impact</t>
  </si>
  <si>
    <t>Is climate risk expected to have a significant impact on the company's top line or bottom lien?</t>
  </si>
  <si>
    <t>Is the overall discussion about climate risk neutral/ negative / positve ?  (count number of sentimental words)</t>
  </si>
  <si>
    <t xml:space="preserve">It was noted that in most cases the RCP climate impact modelled scenarios do not deviate significantly in terms of effects until after 2040. This was followed by a financial impact assessment of potential climate-related
physical risks, such as potential damage costs as a result of the main climate indicators applied in the physical risk assessment. The costs of extreme weather across Z’s assets was also considered at this point. Z’s assessment will continue to focus on cascading risks, such as landslips caused by wet weather events, to better understand potential disruptions to the supply of fuel products from ports, terminals, and retail sites. This supply chain disruption is likely to present the more material financial risk to Z.
The financial assessment concluded that damage to assets is estimated to be minimal out to 2040, with operational disruption due to the impacts of climate change likely to be more significant.  </t>
  </si>
  <si>
    <t>Discussion of Physical Climate Hazards and Risks</t>
  </si>
  <si>
    <t>Acute vs. Chronic physical hazards</t>
  </si>
  <si>
    <t>Mostly chronic</t>
  </si>
  <si>
    <t>No- mostly transtion opportunities</t>
  </si>
  <si>
    <t>"Under the three scenarios we might
expect an increase in our weather-related peril Annual Average Loss (AAL) of between 26% and 34% by 2050, in FY22 dollars."</t>
  </si>
  <si>
    <t>Quantification of physical hazards</t>
  </si>
  <si>
    <t xml:space="preserve">10% of mortgage are exposed to present- day SLR 
</t>
  </si>
  <si>
    <t>Are the current financial impacts of climate change discussed in the disclosure? (related to provision)</t>
  </si>
  <si>
    <t>Are the future financial impacts of climate change discussed in the disclosure? (related to provision)</t>
  </si>
  <si>
    <t xml:space="preserve">Financial Impact Uncertainty </t>
  </si>
  <si>
    <t>Is there disclosure of the range of uncertainty surrounding the expected (average - mean) exposure and financial impacts due to climate physical hazards?</t>
  </si>
  <si>
    <t>Was there any quantification of the business exposure to physical hazards across climate scenarios ?</t>
  </si>
  <si>
    <t>Based on geo-locations. 
Z’s asset base is geographically spread throughout Aotearoa New Zealand, including nine terminals largely located near ports at sea level, and 189 Z branded retail sites and 82 Z branded truck stops.
Z assessed the number of assets exposed to physical risks to understand the potential impact on all Z’s assets (including retail sites, terminals and joint operations, truck stops and corporate offices) across Aotearoa New Zealand.</t>
  </si>
  <si>
    <t>Are the financial impacts detailed  quantatively or qualitatively?</t>
  </si>
  <si>
    <t xml:space="preserve">No mentioned of financial impact quantification but mention of qualitative assessment. </t>
  </si>
  <si>
    <t xml:space="preserve">Acute physical risks refer to those that are event-driven, including increased severity of extreme weather events, such as cyclones, hurricanes, or floods. 
Chronic physical risks refer to longer-term shifts in climate patterns (e.g., sustained higher temperatures) that may cause sea level rise or chronic heat waves. </t>
  </si>
  <si>
    <t>Flood (coastal inundation, pluvial flooding, fluvial flooding)
Cyclones 
Changes in precipitation patterns and extreme variability in weather patterns (Rainfall)
Rising mean temperatures
Sea level rise 
Heatwave 
Drought</t>
  </si>
  <si>
    <t xml:space="preserve">Are the physical hazards to the CRE listed in their disclosure?  
Physical risks resulting from climate change can be event driven (acute) or longer-term shifts (chronic) in climate patterns. </t>
  </si>
  <si>
    <t>Is discussion of physical risk based on the geo-locations of its assets?</t>
  </si>
  <si>
    <t>-Supply chain disruption.   Extreme weather and market disorder causing supply chain disruption.</t>
  </si>
  <si>
    <t xml:space="preserve">1.4oC by 2100 (limited to 1.6oC in 2050) 
1.6oC by 2100 (limited to 1.7oC in 2050) 
3oC by 2100 (2oC by 2050) </t>
  </si>
  <si>
    <t xml:space="preserve">Non-temperature variables covered in scenarios </t>
  </si>
  <si>
    <t xml:space="preserve">Collaborated with other retail industry participants to co-design a set of integrated climate change scenarios for New Zealand’s retail sector.
We then engaged external experts to assist us in interrogating these scenarios and performing a Briscoe Group specific risk assessment.  </t>
  </si>
  <si>
    <t>- Climate-related events
- Storminess (tropical cyclones), extreme wind, convective wateher events (tornadoes, lighting), extreme rainfall, hail
- Storms/ floods
- Sea-level rise leading to
coastal and estuarine
flooding</t>
  </si>
  <si>
    <t>Both extreme events and chronic (SLR)</t>
  </si>
  <si>
    <t xml:space="preserve">Not geo-location specific. </t>
  </si>
  <si>
    <t>NIWA inundation map, GNS groundwater map, NIWA climate scenarios, NZ Sea Rise, etc…</t>
  </si>
  <si>
    <t xml:space="preserve">Was the involvement in terms of providing the climate scenarios/consulting on the identification of climate risk and opportunities/ analysis of climate physical risk, hazard, exposure/ providing datasets or analysis of current/ anticipated impacts? </t>
  </si>
  <si>
    <t>Positive</t>
  </si>
  <si>
    <t>Neutral</t>
  </si>
  <si>
    <t xml:space="preserve">Not mentioned of datasets. </t>
  </si>
  <si>
    <t xml:space="preserve"> A quantitative risk analysis of the exposure of Z’s assets to the projected changes in sea-level rise, precipitation, drought and wind across three temperature-aligned climate scenarios was conducted, but no figure was mentioned. 
Increased precipitation is likely at over 80 percent of Z assets from 2025 onwards. 
Fluvial and tidal flooding and impacts from extreme precipitation intensity are expected to pose the most significant physical risks to Z, though localised studies are required to determine to what extent. 
The proportion of Z’s assets exposed to these flooding risks by 2040 are presented by region in the map overleaf.
* Assets exposed to fluvial (river flooding) and pluvial
(surface flooding) with increased precipitation 
* Assets exposed to tidal flooding with sea-level rise 
* Assets exposed to all of the above, tidal flooding with sea-level rise, fluvial and pluvial flooding and increased precipitation</t>
  </si>
  <si>
    <t xml:space="preserve">Quantitative fuel demand projections for each scenario were developed through detailed analysis of energy demand for transport data from the NGFS Global Change Assessment Model (GCAM) (AU and NZ) and using the IEA model for comparative purposes. 
</t>
  </si>
  <si>
    <t>NIWA Climate Change projections for New Zealand</t>
  </si>
  <si>
    <t>- financial impact of supply chain distribution
- policy reaction to climate change</t>
  </si>
  <si>
    <t>EXAMPLES</t>
  </si>
  <si>
    <t>PFI (Property for industry limited)</t>
  </si>
  <si>
    <t>34 pages</t>
  </si>
  <si>
    <t>PFI’s scenario analysis process involved using the climate scenarios constructed by the New Zealand Green Building Council (NZGBC) and Beca Limited (Beca) for the property and construction sector in 2023. Along with other key stakeholders within the industry, we are pleased to have been involved in overseeing the development of these sector scenarios as part of the Technical Working Group created by NZGBC in 2022.</t>
  </si>
  <si>
    <t>1.5oC 
2oC 
Over 3oC</t>
  </si>
  <si>
    <t xml:space="preserve">PFI recognises that we need to proactively manage the risks and opportunities that arise from climate change, just as we manage other risks and opportunities facing our business. Since 2020, PFI has prepared voluntary climate-related disclosures aligning with the recommendations of the Task Force on Climate-related Financial Disclosures (TCFD). During that time, we have built a solid understanding of the climate-related risks and opportunities faced by the business and applied this understanding to PFI’s strategy. </t>
  </si>
  <si>
    <t xml:space="preserve">TCFD framework form 2020. </t>
  </si>
  <si>
    <t>Short-term: present- 2030 (Within PFI’s weighted average lease term (WALT) (1-6 years)) 
Medium-term: 2031-2050 (The period in which PFI anticipates spending major CAPEX at most properties (6-25 years)) 
Long-term: 2051-2100 (The life of a building (+25 years)</t>
  </si>
  <si>
    <t xml:space="preserve">Beca for scenario development with NIWA involve in this process of creating scenarios. </t>
  </si>
  <si>
    <t>Yes, considered extreme windspeeds beside SLR and hot days and rainfalls</t>
  </si>
  <si>
    <t xml:space="preserve">Used industry scenarios that are inspired from NGFS, IPCC SSP, IEA, CCC , IPCC RCP. </t>
  </si>
  <si>
    <t xml:space="preserve">a 1.5°C ‘Orderly’ scenario (Alignment with SSP1-1.9 and RCP2.6) 
a less than 2°C ‘Disorderly’ scenario (Alignment with SSP1-2.6 and RCP2.6) 
a greater than 3°C ‘Hot House World’ scenario (Alignment with SSP3-7.0 and RCP8.5) </t>
  </si>
  <si>
    <t>NZ / industry specific 
NIWA’s downscaled SSP and RCP climate variables (The New Zealand physical climate data for rainfall intensity,
number of hot days and wind extremes has been sourced from downscaled NIWA RCP projections (IPCC AR5)), NIWA have not yet completed downscaling for global SSP
projections (IPCC AR6).</t>
  </si>
  <si>
    <t xml:space="preserve">Baseline for each variable: 
physical climate data included in each
scenario is relative to a baseline, and baseline data for different regions is provided in Appendix D. </t>
  </si>
  <si>
    <t xml:space="preserve">Not mentioned.
Emission trajectory data is sourced from NGFS IIASA Scenario Explorer (should covered all models). </t>
  </si>
  <si>
    <t>-Average sea level rise in NZ 
- Increase number of hot days in NZ 
- Increase in rainfall intensity in NZ 
- Increase in extreme windspeeds in NZ 
- Whole of life cycle carbon emission reduction requirements 
- NZ population 
- Percentage of population &lt;65 
- Shadow carbon price (not ETS price)
- Electricity grid emissions</t>
  </si>
  <si>
    <t xml:space="preserve">Yes but detailed in the Beca report. </t>
  </si>
  <si>
    <t>-Extreme weather events 
- Rising temperature 
- Sea level rise risk</t>
  </si>
  <si>
    <t xml:space="preserve">- Sea-level rise 
-  Precipitation 
-  Drought </t>
  </si>
  <si>
    <t>Both extreme events and chronic (SLR &amp; temperature)</t>
  </si>
  <si>
    <t>- Extreme event:  Damage or accelerated deterioration of assets and impact the availability of insurance coverage for specific perils
- Rising temperature: increased demand on air conditioning systems and electricity use during hot, dry summers
- SLR: insurance retreat from coastal locations and at-risk properties may become permanently unprofitable or stranded</t>
  </si>
  <si>
    <t>Based on geo-locations. 
- S&amp;P Global Climanomics platform (used to assess a range of climate hazards as described below); 
- NIWA’s extreme sea level flood maps (1%AEP and up to 2m sea-level rise) for Aotearoa5 and local Council hazard maps.</t>
  </si>
  <si>
    <t xml:space="preserve">Beca Limited, Climate Scenarios for the Construction and Property Sector, Ngā Horopaki Āhuarangi mō te Rāngai Hanganga me ngā Whare, New Zealand Green Building Council (2023. 
NIWA: extreme flood map 
</t>
  </si>
  <si>
    <t>NIWA in scenario development .
NIWA’s extreme sea level flood maps (1%AEP and up to 2m sea-level rise) for Aotearoa5 and local Council hazard maps.
S&amp;P Global Climanomics platform (a science-backed climate risk analytics platform that measures the financial risk of a range of climate hazards to physical assets)</t>
  </si>
  <si>
    <t>Building climate resilience: 
Improve resilience of existing assets against the physical impacts of climate change during sustainable refurbishments and developments.
Improve PFI’s due diligence and management of properties with heightened climate risk to create a more resilient portfolio.
Reduce reactive capital expenditure on responding to climate-related weather events.
Reduce the number of insurance claims and improve insurer appetite.
Improve the safety of tenants and occupants.</t>
  </si>
  <si>
    <t>Quantitative:  PFI has already begun to experience physical and transitional impacts of some climate-related risks and opportunities
-  NIWA’s extreme sea level flood maps (1%AEP and up to 2m sea-level rise) for Aotearoa5 and local Council hazard maps.
 - S&amp;P Global Climanomics platform (a science-backed climate risk analytics platform that measures the financial risk of a range of climate hazards to physical assets)</t>
  </si>
  <si>
    <t>0.16 - 0.85% Modelled Average Annual Loss (MAAL) %14 due to pluvial and fluvial flooding (According to the Climanomics platform, the MAAL over a short, medium and long term time horizon (2020s through to 2090s) due to pluvial and fluvial flooding is anticipated to range between 0.16 - 0.85% (relative to the current insured value of almost $2B), in a ‘Disorderly’ and ‘Hot House World Scenario) 
 0.38 - 1.57% Modelled Average Annual Loss % due to temperature extremes
2.2% % of properties by market value that may be at risk of coastal flooding due to sea level rise risk
33% Average % increase in insurance premium1</t>
  </si>
  <si>
    <t>Partially via current increase in insurance premium: 
During PFI’s 2023 insurance renewal, PFI experienced an average increase of 33% in premiums compared to the prior year’s premiums. This increase is attributable to a range of factors such as increased sums insured, the physical impacts of Cyclone Gabrielle and the Auckland floods, and increased climate events globally. The majority of insurance premiums are recovered from PFI's tenants.</t>
  </si>
  <si>
    <t>Mostly direct loss</t>
  </si>
  <si>
    <t>No mentioned of financial impact quantification but mention of insurance premium (and not company revenue asset or income)</t>
  </si>
  <si>
    <t>Yes - text scraping</t>
  </si>
  <si>
    <t>LLM</t>
  </si>
  <si>
    <t>Text scraping</t>
  </si>
  <si>
    <t>Text scraping/LLM</t>
  </si>
  <si>
    <t>Text scrapping</t>
  </si>
  <si>
    <t>Co-produced climate scenarios</t>
  </si>
  <si>
    <t>Are the scenarios / assessments being co-produced ?  For instance, are there keywords like ‘participatory’, ‘co-creat$’, ‘deliber$’, ‘co-design$’ which might be indicative of the legitimacy of the scenarios?</t>
  </si>
  <si>
    <t>Pick-and-mix of SSPs and RCPs</t>
  </si>
  <si>
    <t>Are the scenarios off-the-shelf or further customized to meet with local setting / industry needs</t>
  </si>
  <si>
    <t>Are the scenarios included a pick and mix of SSPs and RCPs ? (Some of which are not internally consistent)</t>
  </si>
  <si>
    <t xml:space="preserve">Yes - they have mixed and pick? </t>
  </si>
  <si>
    <t>Yes, they combined from mutliple</t>
  </si>
  <si>
    <t>Not sure</t>
  </si>
  <si>
    <t>Yes - co produced with other retail industry partners</t>
  </si>
  <si>
    <t>Yes - co produced with Business Energy Council?</t>
  </si>
  <si>
    <t>AIA</t>
  </si>
  <si>
    <t>23 pages</t>
  </si>
  <si>
    <t>Our scenario analysis highlights that over the long-term, the physical risks of
climate change are likely to increase. In contrast, there may be benefits from an
uplift in population health with a transition to a low carbon economy. Intergovernmental Panel on Climate Change (IPCC)’s Sixth Assessment Report
suggests that New Zealand will be less directly impacted by physical climate change
than most countries. However, local extreme weather events and the challenges of
managed retreat may impact on our operations and customers over the longer term.
We also expect global effects such as the increasing incidence of disease, pandemic
risk and socioeconomic pressures to have a flow-on impact to the New Zealand
population and economy as well as our investment portfolio. Despite anticipated long-term benefits from transition to a low-carbon economy,
during the period of transformation we expect impacts on investment markets as well
as the finances and mental health of our customers, particularly if transition is abrupt
with less time for industries and individuals to adapt to the changes</t>
  </si>
  <si>
    <t>Short: 3 year: algins with strategic planning period
Medium: 3-10 years: Aligns with capital management of risk insurance
products, near-term science-based targets for emission
reduction and our global ambition to engage a billion
people to live Healthier, Longer, Better Lives by 2030
Long: 10-30 years: Aligns with Net-Zero Commitment and the long-term nature of AIA NZ’s life insurance busines</t>
  </si>
  <si>
    <t>1.5oC
1.8oC 
&gt;3oC</t>
  </si>
  <si>
    <t>Net-zero 2050 (orderly) 
Delayed transition (disorderly)
Current polciies (hothouse)</t>
  </si>
  <si>
    <t>Mixed of scenarios: 
* NGFS Delayed transtiion (1.5oC)
* NGFS Net-zero 2050 (1.5oC)
* NGFS Current policies (3oC) 
NZ Phyiscal impact 
* NIWA RCP 2.6 
* NIWA RCP 2.6 
* NIWA RCP 8.5 
Global climate and socio-economic IPCC SSP Scenarios: 
* SSP1.-1.9, RCP 2.6
* SSP1-1.9, RCP 2.6 
* SSP5-8.5, RCP 8.5
Transition: Climate Change Commission  2021
* Tailwinds 
* Headwinds
* Current polcies reference</t>
  </si>
  <si>
    <t>AIA NZ participated in the FSC working group that
developed industry scenarios for life and health
insurers and fund managers. However, to ensure that
scenario analysis was relevant to our business internally developed scenarios were utilised, with these cross-checked for consistency against the FSC scenarios (workshops)</t>
  </si>
  <si>
    <t xml:space="preserve">Yes - co produced with other life and health insurers and fund managers </t>
  </si>
  <si>
    <t xml:space="preserve">No mentions of baseline scenarios are included </t>
  </si>
  <si>
    <t xml:space="preserve">Not mentioned. </t>
  </si>
  <si>
    <t>Yes, mentioned as follow;
there is a further limited increase in both
temperature and extreme event</t>
  </si>
  <si>
    <t xml:space="preserve">Phyiscal risk: mention qualitatively 
- Mean temperature change &amp; variability in temperature &amp; number of hot days &amp; change in rainfall/ precipitation extremes (mostly in the hothouse wolrd) 
- Phyiscal health risk 
- Economic impacts from lost productivity and cost of disaster relieft
-  Extreme event 
Transtion risk: 
- rapid electrification of transport, starting
with light vehicles and buses
- Buildings are made more thermally efficient and
domestic heating
-the reduction in transport emissions
reduces air pollution
- Demand in electricity 
- Shift from exotic forestry to native industry 
- </t>
  </si>
  <si>
    <t>CitiBank</t>
  </si>
  <si>
    <t xml:space="preserve">NZ Climate Standard </t>
  </si>
  <si>
    <t xml:space="preserve">NZ Climate Standard (maybe different from SEC Standard), should be read in conjuction with 2023 Citi Climate Report </t>
  </si>
  <si>
    <t xml:space="preserve">NZBA - Earnst &amp; Young "Climate scenario narratives for the banking sector" 
IPCC 
IEA 
NGFS 
CCC 
GIC and Ortec Finance </t>
  </si>
  <si>
    <t xml:space="preserve">1.5oC orderly scenario 
3oC hothouse world 
2-3oC too little too late scenarios </t>
  </si>
  <si>
    <t xml:space="preserve">Employ Buddle Findlay to facilityate 3 workshops to conduct scenario analysess
Use NZBA, the industry body for the banking sector in NZ, who engage Earnst &amp; Young "Climate scenario narratives for the banking sector"
Add further details (customize) to the scenarios by making further and different assumptions on the largest business lines (10%: lending, 90%: banking services) </t>
  </si>
  <si>
    <t xml:space="preserve">Qualititative scenario analysis </t>
  </si>
  <si>
    <t xml:space="preserve">Increase of global temperature by 2100 
* 1.5o C 
* 2.7oC 
* 4.4oC </t>
  </si>
  <si>
    <t xml:space="preserve">Yes - they have mixed and picked </t>
  </si>
  <si>
    <t>Yes - co produced with industry banking sector</t>
  </si>
  <si>
    <t xml:space="preserve">No mentions of baseline scenarios </t>
  </si>
  <si>
    <t>Yes, mention of extreme weather 
- Net zero: from now until 2100 there will be no surges
in extreme weather events
- Too litlte too late: In the 2030s, the world will experience a series of extreme weather event
shocks in the form of transition and physical impacts
due to the world's lack of action, with each shock having a larger impact than the previous shock
- Hothouse world: From now until 2100, New Zealand will experience a series of extreme weather
shocks, which rise in frequency and severity over time, as temperatures rise</t>
  </si>
  <si>
    <t>- Net zero emission year
- Extreme weather events (see above)
- Polcity actiions to adop low-carbon technologies on (agircultural, transport, energy, manufacturing, construction sectors)
- Bank decarbonization will lead to better performance than competitiors / operational cors to repair damages to buildings, highe insurance costs, lower productivitiy and fewr clients due to disruption
- Balance between physcial and transtition risk
- Negative emission technology 
- Carbon sequestration from afforestration
- Energy pathways 
- Macro-economic trends (cost of goods and servicess)</t>
  </si>
  <si>
    <t xml:space="preserve">Intermmediate: 3 year (2025) 
Short-term: 10 years 
Median term: 30 years 
Longterm : 50 years </t>
  </si>
  <si>
    <t>After reviewing scenarios found in the NZBA Report, the GIC Report and reports published by the IPCC,
IEA, NGFS, and Climate Change Commission, Citi NZ decided to focus on the NZBA Report and the GIC
Report because it was the most relevant to the banking sector in New Zealand, incorporated scenarios
from the IPCC, IEA, NGFS and the Climate Change Commission, and complied with the temperatures
prescribed for undertaking scenario analysis in NZ CS 1.
The GIC Report was useful in identifying further characteristics, risks, opportunities and impacts, and was the easiest to understand. The GIC Report discussed four scenarios, of which three are consistent with the NZBA Report and achieve fair presentation as required by NZ CS 3.</t>
  </si>
  <si>
    <t>51 pages</t>
  </si>
  <si>
    <t>39 pages</t>
  </si>
  <si>
    <t>Climate change is complex and the food and agirculture sectors are all at different stages of the transition towards acceptance and response. Notwithstanding, we believe that NZ can achieve an appropriate balance between strong economy, food security, reducing emissions from agricultural actiivity and protecting health, wellbeing and vitality of rural communities</t>
  </si>
  <si>
    <t>Lending exposures to key industries subjected to climate risk (19 billions) (agirculture, other indstires)</t>
  </si>
  <si>
    <t>Quantitative Exposure analysis</t>
  </si>
  <si>
    <t>RaboBank NZ Banking Group (Core Banking Group)</t>
  </si>
  <si>
    <t xml:space="preserve">The Core Banking Group has synthesized 3 scenarios
Use sectoral scenarios when advisable .Adopt 2 sets of sector scenarios such as NZ banking assoication as well as Aoterora Cirlce's Agriculture Sector Climate Change Scenarios but neither of them provided scenarios that best describes plausible futures for us. 
Alinged with RaboBank-wide level but develop their own scenarios </t>
  </si>
  <si>
    <t xml:space="preserve">1.5oC orderly scenario 
Disorderly 
Hothouse world </t>
  </si>
  <si>
    <t xml:space="preserve">Increase of global temperature by 2100 
* 1.4o C
* 1.8oC 
* 4.4oC </t>
  </si>
  <si>
    <t>National  local physical modesl (NIWA)</t>
  </si>
  <si>
    <t>Developed their own since they are agirculture-bank sector</t>
  </si>
  <si>
    <t xml:space="preserve">Physical data; IPCC Shared Socio-Economic Pathway (SSP) Scenarios SSP1-1.9, SSP1-2.6 , SSP5-8.5
Transiiton data: NGFS scenarios 
NZ physical prameters: NIWA RCP 2.6, 2.6, 8.5
NZ transition pathways: CCC tailwinds, headwinds and current polciies 
</t>
  </si>
  <si>
    <t>A note on uncertainty : It should be noted that climate science is complex and constantly evolving, there remains signficant uncertainty in climate models, espeically around climate sensitiivty, tipping points, feedback loop, social economic responses (underetimate, overestimate)</t>
  </si>
  <si>
    <t xml:space="preserve">Short-term: Now-2030  (5 year horizons in strategic planning ) 
Medium term: 2030-2050 (contratual maturity profile of the Core Bank Group) 
Long term: 2050 -2100 (recognize the intergenerational nature of farming and growing in NZ)
</t>
  </si>
  <si>
    <t>-International and national government climate policiies
- Inclusion of agircutlure  in carbon pricing 
- Government investment in infrastruture
- Carbon border adjustment mechanisms 
- Regulation of global financial market on climate risk 
- Low cost lending incentives to farmers to invest in emission mitigation/climate resilience technologies 
- Emission pricing capture methane-caused 
- Social prefernece on decarbonize natural fibre and protein 
- Weather events 
- Eco-systems services and water availability 
- Biodiversity and carbon credit markets 
- Growing consumer demand for sustainable agricuture products 
- Commodity prices 
- Competitive advantages for NZ farmer (higher premiums) 
- Economic instability (recessions) 
- Suply chain shocks 
- ESG requirements on import and exports 
-Glboal inflations and sprialling food prices
- Wealth division
- Domination of fewer and larger farming entities 
- Geopolitical unrest 
- Lack of consensus on who bears responsbility for climate related damage remediataion and retreat costs 
- Cllimate migrants</t>
  </si>
  <si>
    <t>Ventia</t>
  </si>
  <si>
    <t>Combined with sustainability report</t>
  </si>
  <si>
    <t>Infrastructure Services</t>
  </si>
  <si>
    <t>Bank</t>
  </si>
  <si>
    <t>Insurance</t>
  </si>
  <si>
    <t>Property</t>
  </si>
  <si>
    <t>Energy</t>
  </si>
  <si>
    <t>Consumer</t>
  </si>
  <si>
    <t>11 pages</t>
  </si>
  <si>
    <t>NZ Climate Standard / TCFD Requiremenst</t>
  </si>
  <si>
    <t>Short-term: Now-2025 
Medium: 2026-2030 
Long: 2031-beyond</t>
  </si>
  <si>
    <t xml:space="preserve">Fast action (1.5oC future) 
Delayed rapid action 
Required action (2oC future) 
Current trajectory (&gt;3oC future) </t>
  </si>
  <si>
    <t>2 -mostly bluff</t>
  </si>
  <si>
    <t xml:space="preserve">1.5oC 
2 
&gt;3oC </t>
  </si>
  <si>
    <t>-Fossil fuel use
- Reduction of emissions 
- Physical impact degree</t>
  </si>
  <si>
    <t>Vista Group</t>
  </si>
  <si>
    <t>Software and Data Analytics</t>
  </si>
  <si>
    <t>31 pages</t>
  </si>
  <si>
    <t>While this is Vista Group’s second climaterelated
disclosures report, this is our first year
reporting in accordance with Aotearoa New
Zealand Climate Standards (NZ CS)</t>
  </si>
  <si>
    <t>Extreme weather event (physical):</t>
  </si>
  <si>
    <t>External advisers from KPMG NZ were engaged
to facilitate the development of three integrated
climate scenarios</t>
  </si>
  <si>
    <t>The scenarios have a primary focus on
Australasia (Australia and New Zealand),
North and Central America (including Mexico)
and Europe.These geographic regions were
agreed as they are most applicable to Vista
Group’s operational and market footprin</t>
  </si>
  <si>
    <t>Short-term: 2023-2028
Medium-term: 2029-2039
Long-term: 2040-2050
The end point of 2050 was selected to be
long enough to capture the range of potential
transition risks and the initiation of physical
risk divergence. This end point also aligns with
international standard frames of reference
(e.g. Net Zero targets</t>
  </si>
  <si>
    <t xml:space="preserve">Net Zero 20250 (Orderly) 
Delayed Transtion (Disorderly) 
Current Policies (Hothouse) </t>
  </si>
  <si>
    <t xml:space="preserve">&lt;1.5oC 
&lt;1.6oC 
&gt;3oC </t>
  </si>
  <si>
    <t>NGFS Net zero 2050, delayed transtiion, current policy
IPCC AR6 RCP 1.9, AR6 , RCP 6.0 
SSP1: Sustainability
SSP2: Middle of the Road
SSP3: Regional Rivalry</t>
  </si>
  <si>
    <t>-Severe of physical risk 
- Severe of transition risk 
- Policy reactioon 
- Regional policy variation 
- Technology change 
- Carbon dioxide removal
- Mancro economic conditions 
- Consumption 
- Societiy 
- Economy 
-Technology</t>
  </si>
  <si>
    <t>No - they develop a mix and picked of their own</t>
  </si>
  <si>
    <t xml:space="preserve">Chubb </t>
  </si>
  <si>
    <t>3 - neutral (look fancy but not really)</t>
  </si>
  <si>
    <t>Orderly -1.5oC 
Too litltle too late (2oC )
Hothouse (3oC)</t>
  </si>
  <si>
    <t>Short-term (1-3 years) 
Medium-term (5-10 years) 
Long-term (+30 years) impact</t>
  </si>
  <si>
    <t>Via our Financial Services Council membership, we participated in the preparation of industry scenarios
In addition to the industry scenarios, our Risk and Compliance team led internal research to deepen our understanding of our alternative futures, including the impacts specific to New Zealand in terms of both physical and transitional impacts
Chubb Life was a member of the FSC’s Climate Working Group, which was involved in the development of the climate scenario
narratives for the financial services sector.</t>
  </si>
  <si>
    <t xml:space="preserve">Global climate and
socio-economic
parameters: IPCC SSP1-1.9, IPCC SSP2-4.5, IPCC SSP5-8.5
Global energy and
emission pathway
parameters: NGFS Net Zero 2050
IEA Net Zero Emissions
by 2050, NGFS NDCs
IEA APS, NGFS Current Policies
IEA STEPS
New Zealand-specific
climate parameters: NIWA RCP2.6, NIWA RCP4.5, NIWA RCP 8.5
New Zealand-specific
transition pathway
parameters: CCC ‘Tailwinds’, CCC ‘Headwinds’, CCC ‘Current Policy Reference’
</t>
  </si>
  <si>
    <t>• Domestic: +0.7°C by 2100 (min
0.4, max 1.3)
• Global: +1.4° C by 2100 (min
1.0, max 1.8)
Domestic: +1.4°C by 2100 (min
0.7, max 2.2)
• Global: +2.7° C by 2100 (min
2.1, max 3.5)
Domestic: +3.0°C by 2100
(min 2.0, max 4.6)
• Global: +4.4° C by 2100 (min
3.3, max 5.7)</t>
  </si>
  <si>
    <t xml:space="preserve">Quantitaiitve Scenario </t>
  </si>
  <si>
    <t>Yes - co produced with industry sector</t>
  </si>
  <si>
    <t>-Carbon price (  Domestic ETS: NZ$140 in 2030,
NZ$250 in 2050,  Global: US$124 in 2030,
US$400 in 2050) 
- Global population: 8 billion by
2030, 8.5 billion by 2050
Percent of renewable electricity of
total electricity produced
Percent of renewable energy of
total energy produced:
NZ Growth and global GDP growth (GDP% change due to chronic phyiscal impact, acute impacts are exclued from this fiure)</t>
  </si>
  <si>
    <t xml:space="preserve">NZ </t>
  </si>
  <si>
    <t>Acute impacts are excluded from GDP growth</t>
  </si>
  <si>
    <t>The sector narratives are supported by robust rationale for their inclusion. The Orderly and Hothouse scenarios are commonly used
in relevant industries, and have been used in other New Zealand sectoral analyses. The Too Little Too Late scenario is not commonly
used, but is considered more realistic than the “Disorderly” scenario. In order to further satisfy ourselves that the scenarios were
relevant and appropriate, we reviewed the narratives against the scenario quality check factors set out in the XRB’s Staff Guidance
on Scenario development, as well as the express requirements of the Climate Standards. We also undertook additional research
relating to climate change and its impacts from a life insurance perspective, to ensure that our understanding of the impacts on
human health and life was robust. See the References at the end of this report for a list of the New Zealand-specific resources used in
conducting our scenario analysis.</t>
  </si>
  <si>
    <t>CDI</t>
  </si>
  <si>
    <t>Real Estate</t>
  </si>
  <si>
    <t>12 pages</t>
  </si>
  <si>
    <t>As 2023 is our base year, our scenario analysis was done on a basic level internally, is a narrative-driven analysis but not fully detailed</t>
  </si>
  <si>
    <t>- The International Panel on Climate Change (IPCC) 5th and 6th Assessment Reports and the AR6 Synthesis Report: Climate Change 2023 
- We have also had regard to the Climate Change scenarios for New Zealand published by the National Institute of Water and Atmospheric Research (NIWA)5 including their New Zealand findings from the IPCC 5th Assessment Report.
- Ministry for the Environment’s “Aotearoa New Zealand
climate change projections guidance”.</t>
  </si>
  <si>
    <t>Orderly - 1.5oC 
2oC Scenario (Disorderly) 
3oC scenario (Houthouse world)</t>
  </si>
  <si>
    <t>Near-term (2023-2030) 
Mid-term (2031-2050)
Long-term (2050-forward)</t>
  </si>
  <si>
    <t>-Widespread and rapid changes in the atmosphere, ocean and biosphere
- Global mean sea level increased by 0.20 metres between 1901 and 2018
- food security and affected water security,
- New Zealand could see population growth
from between 16% to 26% which could be similar to global population growth trends of between 8% to 16%.
- number of extreme heat days</t>
  </si>
  <si>
    <t>Hotel Management</t>
  </si>
  <si>
    <t>10 pages</t>
  </si>
  <si>
    <t>TCFD Framework/ NZ Climate Standards</t>
  </si>
  <si>
    <t>As 2023 is our base year, our scenario
analysis was done on a basic level
internally, is a narrative-driven analysis
but not fully detailed</t>
  </si>
  <si>
    <t>International
Panel on Climate Change (IPCC) 5th and
6th Assessment Reports and the AR6
Synthesis Report: Climate Change 20236
which was published by the IPCC in March
2023
The Aotearoa
Circle7 and the Climate Change scenarios
for New Zealand published by the National
Institute of Water and Atmospheric
Research (NIWA)8 including their New
Zealand findings from the IPCC 5th
Assessment Report9. We have also referred
to the Ministry for the Environment’s
“Aotearoa New Zealand climate change
projections guidance”</t>
  </si>
  <si>
    <t>MCK( Millennium &amp; Copthorne Hotels New
Zealand Limited) (very similar to CDIO</t>
  </si>
  <si>
    <t>Media</t>
  </si>
  <si>
    <t>Combined with Annual Report</t>
  </si>
  <si>
    <t>15 pages</t>
  </si>
  <si>
    <t>NZME</t>
  </si>
  <si>
    <t>NZ Climate Standards</t>
  </si>
  <si>
    <t>The discussion about climate risks in the NZME Annual Report 2023 primarily presents a neutral to positive outlook, focusing on the actions the company is taking to mitigate climate risks and capitalize on related opportunities</t>
  </si>
  <si>
    <t>The climate risk disclosure in the NZME Annual Report 2023 does not explicitly state that climate risks will have a significant impact on the company's top line (revenue) or bottom line (net income). Instead, the discussion focuses on the qualitative aspects of how climate-related factors could influence business operations, emphasizing preparedness and strategic responses to manage these risks.</t>
  </si>
  <si>
    <t>Primary qualittative, quantitative elements expressed in percentages rather than dollar amounts</t>
  </si>
  <si>
    <t xml:space="preserve">Deep decarbonization (SSP1-1.9 and RCP 2.6) </t>
  </si>
  <si>
    <t>Deep decarbonization (SSP1-1.9 and RCP 2.6) 
Status quo scenario (SSP2-4.5 and RCP 4.5)
Carbon intensive scenario (SSP5-8.5 and RCP 8.5)</t>
  </si>
  <si>
    <t xml:space="preserve">1.4oC 
2.7oC 
4.4oC </t>
  </si>
  <si>
    <t xml:space="preserve">Engage external consultants </t>
  </si>
  <si>
    <t>NZ reference data</t>
  </si>
  <si>
    <t>-Temperature chance 
- Flooding 
- Sea level rise 
- Population growth 
- Regulatory/poly 
- Technology 
- Tranportation 
- Miitigation vs adaptation efforts</t>
  </si>
  <si>
    <t>RCP provided by IPCC 6th assessment + SSP revelvant to NZ 
NZ reference data was overlaid
MfE Climate Assessment 2020 - Flooding 
SLR - NASA 
IEA 
Ministry of Tranport 
Mitigation vs Adaptation</t>
  </si>
  <si>
    <t>Short-term (1-3 years) 
Medium term (3-10 years) 
Long-terms (10-30 years)</t>
  </si>
  <si>
    <t>Channel</t>
  </si>
  <si>
    <t>Infrastructure</t>
  </si>
  <si>
    <t>125 pages</t>
  </si>
  <si>
    <t>Combined in Sustainable Report (integrated deeply)</t>
  </si>
  <si>
    <t>Company</t>
  </si>
  <si>
    <t>Variable</t>
  </si>
  <si>
    <t>Industry</t>
  </si>
  <si>
    <t xml:space="preserve">Original Result </t>
  </si>
  <si>
    <t>Real Result</t>
  </si>
  <si>
    <t>Other</t>
  </si>
  <si>
    <t xml:space="preserve">1.5oC 
2.6oC 
4.0oC </t>
  </si>
  <si>
    <t>Green (1.oC degree)  (Orderly) (SSP1)  (RCP 2.6)  (Tailwinds) 
Amber Middle degree scenario  (Disorderly)  (SSP2)  (RCP 4.5)  (Headwinds) 
Red &gt;3oC scenario (Hothouse)(SSP5)  (RCP 7.0)  (Current polcies)</t>
  </si>
  <si>
    <t xml:space="preserve">Short-term (2024-2040) 
Medium term (2030-2050) 
Long-terms (2050-2100) </t>
  </si>
  <si>
    <t xml:space="preserve">-NZ carbon price 
- NZ population 
- NZ sea level rise 
- Rainfall intensity 
- NZ hot days 
- NZ total fuel demands 
</t>
  </si>
  <si>
    <t>- the Intergovernmental Panel for Climate Change (IPCC) data 
- a Coastal Climate Risk Assessment Report
- SSP sCenarios
Data sources:
1. IPCC WG1 AR5 Summary for Policymakers
2. Ministry for the Environment (2018) Climate change projections for New Zealand
3. Treasury New Zealand (2022) CBAx Tool User Guidance
4. International Institute for Applied Systems Analysis (2018) SSP Database
5. Climate Change Commission (2021) Scenarios dataset for the Commission’s
2021 Final Advice</t>
  </si>
  <si>
    <t>Net Zero 2050 (Orderly)|Delayed Transition|(Disorderly Category)|Current Policies (Hot|House World Category)</t>
  </si>
  <si>
    <t>Green Road (Net Zero 2050 orderly transition that limits global warming to 1.5°C) |Road Block (Delayed, disorderly transition that limits global warming to below 2°C) |Hot House (Current policies)</t>
  </si>
  <si>
    <t xml:space="preserve">a 1.5°C ‘Orderly’ scenario (Alignment with SSP1-1.9 and RCP2.6) |a less than 2°C ‘Disorderly’ scenario (Alignment with SSP1-2.6 and RCP2.6) |a greater than 3°C ‘Hot House World’ scenario (Alignment with SSP3-7.0 and RCP8.5) </t>
  </si>
  <si>
    <t>Net-zero 2050 (orderly) |Delayed transition (disorderly)|Current polciies (hothouse)</t>
  </si>
  <si>
    <t xml:space="preserve">1.5oC orderly scenario |3oC hothouse world |2-3oC too little too late scenarios </t>
  </si>
  <si>
    <t xml:space="preserve">1.5oC orderly scenario |Disorderly |Hothouse world </t>
  </si>
  <si>
    <t xml:space="preserve">Fast action (1.5oC future) |Delayed rapid action |Required action (2oC future) |Current trajectory (&gt;3oC future) </t>
  </si>
  <si>
    <t xml:space="preserve">Net Zero 20250 (Orderly) |Delayed Transtion (Disorderly) |Current Policies (Hothouse) </t>
  </si>
  <si>
    <t>Orderly -1.5oC |Too litltle too late (2oC )|Hothouse (3oC)</t>
  </si>
  <si>
    <t>Orderly - 1.5oC |2oC Scenario (Disorderly) |3oC scenario (Houthouse world)</t>
  </si>
  <si>
    <t>Deep decarbonization (SSP1-1.9 and RCP 2.6) |Status quo scenario (SSP2-4.5 and RCP 4.5)|Carbon intensive scenario (SSP5-8.5 and RCP 8.5)</t>
  </si>
  <si>
    <t>Green (1.oC degree)  (Orderly) (SSP1)  (RCP 2.6)  (Tailwinds) |Amber Middle degree scenario  (Disorderly)  (SSP2)  (RCP 4.5)  (Headwinds) |Red &gt;3oC scenario (Hothouse)(SSP5)  (RCP 7.0)  (Current polcies)</t>
  </si>
  <si>
    <t>Net Zero 2050 (Orderly)</t>
  </si>
  <si>
    <t xml:space="preserve">Green Road (Net Zero 2050 orderly transition that limits global warming to 1.5°C) </t>
  </si>
  <si>
    <t xml:space="preserve">Road Block (Delayed, disorderly transition that limits global warming to below 2°C) </t>
  </si>
  <si>
    <t>Hot House (Current policies)</t>
  </si>
  <si>
    <t xml:space="preserve">a 1.5°C ‘Orderly’ scenario (Alignment with SSP1-1.9 and RCP2.6) </t>
  </si>
  <si>
    <t xml:space="preserve">a less than 2°C ‘Disorderly’ scenario (Alignment with SSP1-2.6 and RCP2.6) </t>
  </si>
  <si>
    <t xml:space="preserve">a greater than 3°C ‘Hot House World’ scenario (Alignment with SSP3-7.0 and RCP8.5) </t>
  </si>
  <si>
    <t xml:space="preserve">Net-zero 2050 (orderly) </t>
  </si>
  <si>
    <t>Delayed transition (disorderly)</t>
  </si>
  <si>
    <t>Current polciies (hothouse)</t>
  </si>
  <si>
    <t xml:space="preserve">1.5oC orderly scenario </t>
  </si>
  <si>
    <t xml:space="preserve">3oC hothouse world </t>
  </si>
  <si>
    <t xml:space="preserve">2-3oC too little too late scenarios </t>
  </si>
  <si>
    <t xml:space="preserve">Disorderly </t>
  </si>
  <si>
    <t xml:space="preserve">Hothouse world </t>
  </si>
  <si>
    <t xml:space="preserve">Fast action (1.5oC future) </t>
  </si>
  <si>
    <t xml:space="preserve">Current trajectory (&gt;3oC future) </t>
  </si>
  <si>
    <t xml:space="preserve">Net Zero 20250 (Orderly) </t>
  </si>
  <si>
    <t xml:space="preserve">Delayed Transtion (Disorderly) </t>
  </si>
  <si>
    <t xml:space="preserve">Current Policies (Hothouse) </t>
  </si>
  <si>
    <t xml:space="preserve">Orderly -1.5oC </t>
  </si>
  <si>
    <t>Too litltle too late (2oC )</t>
  </si>
  <si>
    <t>Hothouse (3oC)</t>
  </si>
  <si>
    <t xml:space="preserve">Orderly - 1.5oC </t>
  </si>
  <si>
    <t xml:space="preserve">2oC Scenario (Disorderly) </t>
  </si>
  <si>
    <t>3oC scenario (Houthouse world)</t>
  </si>
  <si>
    <t>Status quo scenario (SSP2-4.5 and RCP 4.5)</t>
  </si>
  <si>
    <t>Carbon intensive scenario (SSP5-8.5 and RCP 8.5)</t>
  </si>
  <si>
    <t xml:space="preserve">Green (1.oC degree)  (Orderly) (SSP1)  (RCP 2.6)  (Tailwinds) </t>
  </si>
  <si>
    <t xml:space="preserve">Amber Middle degree scenario  (Disorderly)  (SSP2)  (RCP 4.5)  (Headwinds) </t>
  </si>
  <si>
    <t>Red &gt;3oC scenario (Hothouse)(SSP5)  (RCP 7.0)  (Current polcies)</t>
  </si>
  <si>
    <t>Current Policies House World Category)</t>
  </si>
  <si>
    <t xml:space="preserve">Delayed rapid action ; Required action (2oC future) </t>
  </si>
  <si>
    <t>Orderly -1.5oC (NGFS)</t>
  </si>
  <si>
    <t xml:space="preserve">Combined with other international </t>
  </si>
  <si>
    <t>Combined with other international  &amp; local</t>
  </si>
  <si>
    <t>Group</t>
  </si>
  <si>
    <t>Index</t>
  </si>
  <si>
    <t>Topic</t>
  </si>
  <si>
    <t>Question</t>
  </si>
  <si>
    <t>Document</t>
  </si>
  <si>
    <t>q1</t>
  </si>
  <si>
    <t>Word/Page counts</t>
  </si>
  <si>
    <t>What is the Word counts/ Page counts/ Length of document?</t>
  </si>
  <si>
    <t>q2</t>
  </si>
  <si>
    <t>Disclosure type</t>
  </si>
  <si>
    <t>Is the climate risk disclosure issued as a separate climate statement, sustainablity report, or annual report?</t>
  </si>
  <si>
    <t>q3</t>
  </si>
  <si>
    <t>Adoption provisions</t>
  </si>
  <si>
    <t>List the adoption provisions that this statement applies. If no, plaese answer NA</t>
  </si>
  <si>
    <t>q4</t>
  </si>
  <si>
    <t>Climate scenarios</t>
  </si>
  <si>
    <t>Provide the list of all climate scenarios or pathways that have been used in this statement</t>
  </si>
  <si>
    <t>q5</t>
  </si>
  <si>
    <t>Temperature outcomes</t>
  </si>
  <si>
    <t>Provide the global temperature outcomes associated with the climate scenarios by 2100</t>
  </si>
  <si>
    <t>q6</t>
  </si>
  <si>
    <t>Scenario providers</t>
  </si>
  <si>
    <t>Provide the list of scenario providers used in this statement</t>
  </si>
  <si>
    <t>q7</t>
  </si>
  <si>
    <t>Mix of scenarios</t>
  </si>
  <si>
    <t>Are the scenarios included a pick and mix of different scenario providers, such as SSPs or RCPs?</t>
  </si>
  <si>
    <t>q8</t>
  </si>
  <si>
    <t>Custom scenarios</t>
  </si>
  <si>
    <t>Are the scenarios off-the-shelf or are they further customized to meet with company business models?</t>
  </si>
  <si>
    <t>q9</t>
  </si>
  <si>
    <t>Main variables</t>
  </si>
  <si>
    <t>What are the main variables that are covered and drive the scenarios? (apart from global temperature outcomes)?</t>
  </si>
  <si>
    <t>Scenario</t>
  </si>
  <si>
    <t>q10</t>
  </si>
  <si>
    <t>Co-produced scenarios</t>
  </si>
  <si>
    <t>Are the scenarios/assessments being co-produced ?  For instance, are there keywords like â€˜participatoryâ€™, â€˜co-creat$â€™, â€˜deliber$â€™, â€˜co-design$â€™ which might be indicative of the legitimacy of the scenarios?</t>
  </si>
  <si>
    <t>q11</t>
  </si>
  <si>
    <t>Is there disclosure of the  baseline or reference scenarios or assumptions that is used to measure the impact of climate change scenarios against?</t>
  </si>
  <si>
    <t>q12</t>
  </si>
  <si>
    <t>Models used</t>
  </si>
  <si>
    <t>q13</t>
  </si>
  <si>
    <t>Extreme events</t>
  </si>
  <si>
    <t>Is damage from extreme or acute climate events considered in the set of climate scenarios/ pathways?</t>
  </si>
  <si>
    <t>q14</t>
  </si>
  <si>
    <t>Model type</t>
  </si>
  <si>
    <t>Are the scenarios based on global climate models or local, New Zealand based models or regional models?</t>
  </si>
  <si>
    <t>q15</t>
  </si>
  <si>
    <t>Timeframes</t>
  </si>
  <si>
    <t>What are the short, medium and long term timeframes and their associated rationale?</t>
  </si>
  <si>
    <t>q16</t>
  </si>
  <si>
    <t>Scenario justification</t>
  </si>
  <si>
    <t>Does the statement provide justification for their choice of climate scenarios/ models?</t>
  </si>
  <si>
    <t>Physical hazards</t>
  </si>
  <si>
    <t>q17</t>
  </si>
  <si>
    <t>What are the physical hazards listed in the climate statement that have an impact on firms?</t>
  </si>
  <si>
    <t>q18</t>
  </si>
  <si>
    <t>Physical risk detail</t>
  </si>
  <si>
    <t>Is the discussion of physical risk generic or based on the geo-locations of its assets?</t>
  </si>
  <si>
    <t>q19</t>
  </si>
  <si>
    <t>Business risks</t>
  </si>
  <si>
    <t>What are the business risks specific to the firm due to physical hazards?</t>
  </si>
  <si>
    <t>q20</t>
  </si>
  <si>
    <t>Business opportunities</t>
  </si>
  <si>
    <t>q21</t>
  </si>
  <si>
    <t>Exposure quantification</t>
  </si>
  <si>
    <t>Is there any quantification of the business exposure to physical hazards across climate scenarios ? What are they?</t>
  </si>
  <si>
    <t>q22</t>
  </si>
  <si>
    <t>Current impacts</t>
  </si>
  <si>
    <t>Are the current financial impacts of climate change discussed in the disclosure? What are they?</t>
  </si>
  <si>
    <t>q23</t>
  </si>
  <si>
    <t>Future impacts</t>
  </si>
  <si>
    <t>Are the future financial impacts of climate change discussed in the disclosure? What are they?</t>
  </si>
  <si>
    <t>q24</t>
  </si>
  <si>
    <t>Uncertainty range</t>
  </si>
  <si>
    <t>q25</t>
  </si>
  <si>
    <t>Impact detail</t>
  </si>
  <si>
    <t>q26</t>
  </si>
  <si>
    <t>Impact focus</t>
  </si>
  <si>
    <t>Are the disclosure of financial impact focus on direct or indirect loss?</t>
  </si>
  <si>
    <t>Business opportuniites</t>
  </si>
  <si>
    <t>q27</t>
  </si>
  <si>
    <t>Science agencies</t>
  </si>
  <si>
    <t>Did science agencies  involve in the creation of this disclosure? What are they? (for instance, NIWA)?</t>
  </si>
  <si>
    <t>q28</t>
  </si>
  <si>
    <t>Agency involvement</t>
  </si>
  <si>
    <t>Did science agencies involve in terms of providing the climate scenarios/consulting on the identification of climate risk and opportunities/ analysis of climate physical risk, hazard, exposure/ providing datasets or analysis of current/ anticipated impacts?</t>
  </si>
  <si>
    <t>q29</t>
  </si>
  <si>
    <t>Consultancy</t>
  </si>
  <si>
    <t>q30</t>
  </si>
  <si>
    <t>Consulted parts</t>
  </si>
  <si>
    <t>What parts of the disclosures (climate risk/ scenario creation/ data provision / transition risk) are consultants commonly contracted</t>
  </si>
  <si>
    <t>q31</t>
  </si>
  <si>
    <t>Risk discussion</t>
  </si>
  <si>
    <t>Is the overall discussion about climate risk neutral/ negative / positve ?</t>
  </si>
  <si>
    <t>q32</t>
  </si>
  <si>
    <t>Risk impact</t>
  </si>
  <si>
    <t>Is climate risk expected to have a significant impact on the company's financial performance?</t>
  </si>
  <si>
    <t>q33</t>
  </si>
  <si>
    <t>Discussion type</t>
  </si>
  <si>
    <t>Is the overall discussion in the document qualitative / quantitative (%) / financially quantitative ($)?</t>
  </si>
  <si>
    <t>Orderly 1.50C</t>
  </si>
  <si>
    <t>NGFS-orderly</t>
  </si>
  <si>
    <t>Shared Socioeconomic Pathway 1-1.9</t>
  </si>
  <si>
    <t>SSP1-1.9</t>
  </si>
  <si>
    <t>Network for Greening the Financial System (NGFS) Net Zero 2050</t>
  </si>
  <si>
    <t>NGFS-net zero</t>
  </si>
  <si>
    <t>orderly 1.5C scenario</t>
  </si>
  <si>
    <t>hot house world &gt; 3Â°C scenario</t>
  </si>
  <si>
    <t>NGFS-hot house world</t>
  </si>
  <si>
    <t>disorderly scenario less than 2C</t>
  </si>
  <si>
    <t>disorderly</t>
  </si>
  <si>
    <t>Orderly</t>
  </si>
  <si>
    <t>Too Little Too Late</t>
  </si>
  <si>
    <t>NGFS-too little too late</t>
  </si>
  <si>
    <t>Hothouse</t>
  </si>
  <si>
    <t>IPCC SSPs</t>
  </si>
  <si>
    <t>other</t>
  </si>
  <si>
    <t>Downscaled NZ climate change projections prepared by NIWA for Minister for the Environment (MfE)</t>
  </si>
  <si>
    <t>Network for Greening the Financial System (NGFS) Climate Scenarios</t>
  </si>
  <si>
    <t>NGFS-generic</t>
  </si>
  <si>
    <t>I don't know</t>
  </si>
  <si>
    <t>SSP2-4.5</t>
  </si>
  <si>
    <t>SSP1-2.6</t>
  </si>
  <si>
    <t>SSP2-2.6</t>
  </si>
  <si>
    <t>orderly scenario</t>
  </si>
  <si>
    <t>too little too late scenario</t>
  </si>
  <si>
    <t>hot house world scenario</t>
  </si>
  <si>
    <t>Net Zero 2050</t>
  </si>
  <si>
    <t>Delayed Transition</t>
  </si>
  <si>
    <t>NGFS-delayed</t>
  </si>
  <si>
    <t>Current Policies</t>
  </si>
  <si>
    <t>NGFS-current policies</t>
  </si>
  <si>
    <t>Fast action 1.5C future</t>
  </si>
  <si>
    <t>Delayed rapid action</t>
  </si>
  <si>
    <t>Required action 2.0C future</t>
  </si>
  <si>
    <t>Current trajectory &gt;3.0C future</t>
  </si>
  <si>
    <t>Best case scenario</t>
  </si>
  <si>
    <t>Worst case scenario</t>
  </si>
  <si>
    <t>orderly</t>
  </si>
  <si>
    <t>hothouse</t>
  </si>
  <si>
    <t>1.5C</t>
  </si>
  <si>
    <t>1.7C</t>
  </si>
  <si>
    <t>1.8C</t>
  </si>
  <si>
    <t>2.4C</t>
  </si>
  <si>
    <t>3.90C+</t>
  </si>
  <si>
    <t>11C</t>
  </si>
  <si>
    <t>IPCC Shared Socioeconomic Pathway (SSP) scenarios</t>
  </si>
  <si>
    <t>SSP-generic</t>
  </si>
  <si>
    <t>Network for Greening the Financial System (NGFS) scenarios</t>
  </si>
  <si>
    <t>immediate stringent policy action and innovation</t>
  </si>
  <si>
    <t>limit global warming</t>
  </si>
  <si>
    <t>CO2 removal kept in line with sustainable levels of bioenergy production</t>
  </si>
  <si>
    <t>Shared Socio-economic Pathways (SSP)</t>
  </si>
  <si>
    <t>Global references</t>
  </si>
  <si>
    <t>Temperature pathways</t>
  </si>
  <si>
    <t>Orderly TÅ«-Ä-pae a 1.5 degrees Celsius climate-related scenario</t>
  </si>
  <si>
    <t>Disorderly TÅ«-Ä-hopo a 2 degrees Celsius climate related scenario</t>
  </si>
  <si>
    <t>Hothouse World TÅ«-Ä-tapape a 3 degrees Celsius or greater climate related scenario</t>
  </si>
  <si>
    <t>IPCC 5th and 6th Assessment Reports</t>
  </si>
  <si>
    <t>AR6 Synthesis Report: Climate Change 2023</t>
  </si>
  <si>
    <t>Scenario modelling data from The Aotearoa Circle</t>
  </si>
  <si>
    <t>Climate Change scenarios for New Zealand published by NIWA</t>
  </si>
  <si>
    <t>New Zealand findings from the IPCC 5th Assessment Report</t>
  </si>
  <si>
    <t>Ministry for the Environment's Aotearoa New Zealand climate change projections guidance</t>
  </si>
  <si>
    <t>MFE scenarios</t>
  </si>
  <si>
    <t>1.5 degree scenario</t>
  </si>
  <si>
    <t>Climate Change scenarios for New Zealand published by the National Institute of Water and Atmospheric Research (NIWA)</t>
  </si>
  <si>
    <t>Ministry for the Environment's "Aotearoa New Zealand climate change projections guidance"</t>
  </si>
  <si>
    <t>1.5C Orderly scenario</t>
  </si>
  <si>
    <t>less than 2C Disorderly scenario</t>
  </si>
  <si>
    <t>greater than 3C Hot House World scenario</t>
  </si>
  <si>
    <t>SSP1 (Net Zero 2050)</t>
  </si>
  <si>
    <t>SSP2 (Delayed Transition)</t>
  </si>
  <si>
    <t>SSP3 (Current Policies)</t>
  </si>
  <si>
    <t>IPCC SSP1-1.9</t>
  </si>
  <si>
    <t>IPCC SSP2-4.5</t>
  </si>
  <si>
    <t>IPCC SSP5-8.5</t>
  </si>
  <si>
    <t>NGFS Net Zero 2050</t>
  </si>
  <si>
    <t>IEA Net Zero Emissions by 2050 (NZE)</t>
  </si>
  <si>
    <t>NGFS Nationally Determined Contributions (NDC's)</t>
  </si>
  <si>
    <t>NGFS-ndc</t>
  </si>
  <si>
    <t>IEA Announced Pledges (APS)</t>
  </si>
  <si>
    <t>NGFS Current Policies</t>
  </si>
  <si>
    <t>IEA Stated Policies (STEPS)</t>
  </si>
  <si>
    <t>NIWA RCP2.6</t>
  </si>
  <si>
    <t>NIWA RCP4.5</t>
  </si>
  <si>
    <t>NIWA RCP8.5</t>
  </si>
  <si>
    <t>CCC 'Tailwinds'</t>
  </si>
  <si>
    <t>CCC 'Headwinds'</t>
  </si>
  <si>
    <t>CCC 'Current Policy Reference'</t>
  </si>
  <si>
    <t>BOCNZ specific scenarios</t>
  </si>
  <si>
    <t>IPCC Shared Socioeconomic Pathway (SSP) scenarios for physical data</t>
  </si>
  <si>
    <t>Network for Greening the Financial System (NGFS) scenarios for transition data</t>
  </si>
  <si>
    <t>Net Zero 2050 (Orderly Category)</t>
  </si>
  <si>
    <t>Delayed Transition (Disorderly Category)</t>
  </si>
  <si>
    <t>Current Policies (Hot House World Category)</t>
  </si>
  <si>
    <t>Orderly 1.5C</t>
  </si>
  <si>
    <t>Too Little Too Late &gt;2C</t>
  </si>
  <si>
    <t>Hothouse &gt;3C</t>
  </si>
  <si>
    <t>short-term</t>
  </si>
  <si>
    <t>medium-term</t>
  </si>
  <si>
    <t>long-term</t>
  </si>
  <si>
    <t>extended-term</t>
  </si>
  <si>
    <t>Orderly 1.50C scenario</t>
  </si>
  <si>
    <t>Net Zero by 2050 scenario</t>
  </si>
  <si>
    <t>Global Energy and Climate Model scenario</t>
  </si>
  <si>
    <t>Climate Change 2021 The physical science basis summary for policy Makers scenario</t>
  </si>
  <si>
    <t>Intergovernmental Panel on Climate Change: Sixth Assessment Report scenario</t>
  </si>
  <si>
    <t>Summary for Policymakers scenario</t>
  </si>
  <si>
    <t>Coastal Hazards and Climate Change scenario</t>
  </si>
  <si>
    <t>Orderly scenario</t>
  </si>
  <si>
    <t>Too Little Too Late scenario</t>
  </si>
  <si>
    <t>Hothouse scenario</t>
  </si>
  <si>
    <t>1.5Â°C pathway</t>
  </si>
  <si>
    <t>&gt;2Â°C pathway</t>
  </si>
  <si>
    <t>Net Zero scenario</t>
  </si>
  <si>
    <t>Paris Agreement scenario</t>
  </si>
  <si>
    <t>[SSP1-1.9</t>
  </si>
  <si>
    <t>SSP5-8.5</t>
  </si>
  <si>
    <t>1.5 degrees Celsius scenario</t>
  </si>
  <si>
    <t>3 degrees Celsius or greater scenario</t>
  </si>
  <si>
    <t>third scenario</t>
  </si>
  <si>
    <t>Representative Concentration Pathway 8.5H+</t>
  </si>
  <si>
    <t>3 degree Celsius global warming assumption by 2100</t>
  </si>
  <si>
    <t>National Institute of Water and Atmospheric Research (NIWA)</t>
  </si>
  <si>
    <t>orderly transition</t>
  </si>
  <si>
    <t>hot house world</t>
  </si>
  <si>
    <t>too little, too late</t>
  </si>
  <si>
    <t>RCP 2.6</t>
  </si>
  <si>
    <t>RCP 4.5</t>
  </si>
  <si>
    <t>RCP 8.5</t>
  </si>
  <si>
    <t>Intergovernmental Panel on Climate Change (IPCC) Shared Socioeconomic Pathways (SSPs)</t>
  </si>
  <si>
    <t>Row Labels</t>
  </si>
  <si>
    <t>Grand Total</t>
  </si>
  <si>
    <t>original</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</si>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</sst>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4"/>
      <color theme="1"/>
      <name val="Calibri"/>
      <family val="2"/>
      <scheme val="minor"/>
    </font>
    <font>
      <b/>
      <sz val="11"/>
      <color theme="1"/>
      <name val="Calibri"/>
      <family val="2"/>
      <scheme val="minor"/>
    </font>
    <font>
      <b/>
      <sz val="11"/>
      <color rgb="FF000000"/>
      <name val="Calibri"/>
      <family val="2"/>
      <scheme val="minor"/>
    </font>
    <font>
      <b/>
      <sz val="11"/>
      <color rgb="FFFF0000"/>
      <name val="Calibri"/>
      <family val="2"/>
      <scheme val="minor"/>
    </font>
    <font>
      <sz val="11"/>
      <color rgb="FF000000"/>
      <name val="Calibri"/>
      <family val="2"/>
      <scheme val="minor"/>
    </font>
    <font>
      <i/>
      <sz val="11"/>
      <color rgb="FF000000"/>
      <name val="Calibri"/>
      <family val="2"/>
      <scheme val="minor"/>
    </font>
    <font>
      <sz val="12"/>
      <name val="Calibri"/>
      <family val="2"/>
      <scheme val="minor"/>
    </font>
    <font>
      <sz val="12"/>
      <name val="Calibri"/>
      <family val="2"/>
    </font>
    <font>
      <i/>
      <sz val="12"/>
      <name val="Calibri"/>
      <family val="2"/>
    </font>
    <font>
      <b/>
      <sz val="12"/>
      <color rgb="FFC00000"/>
      <name val="Calibri"/>
      <family val="2"/>
      <scheme val="minor"/>
    </font>
    <font>
      <b/>
      <sz val="12"/>
      <color theme="0"/>
      <name val="Calibri"/>
      <family val="2"/>
      <scheme val="minor"/>
    </font>
    <font>
      <b/>
      <sz val="12"/>
      <name val="Calibri"/>
      <family val="2"/>
      <scheme val="minor"/>
    </font>
    <font>
      <i/>
      <sz val="12"/>
      <name val="Calibri"/>
      <family val="2"/>
      <scheme val="minor"/>
    </font>
  </fonts>
  <fills count="14">
    <fill>
      <patternFill patternType="none"/>
    </fill>
    <fill>
      <patternFill patternType="gray125"/>
    </fill>
    <fill>
      <patternFill patternType="solid">
        <fgColor theme="9"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4"/>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rgb="FF00B050"/>
        <bgColor indexed="64"/>
      </patternFill>
    </fill>
    <fill>
      <patternFill patternType="solid">
        <fgColor theme="4" tint="-0.499984740745262"/>
        <bgColor indexed="64"/>
      </patternFill>
    </fill>
    <fill>
      <patternFill patternType="solid">
        <fgColor rgb="FFFFFF00"/>
        <bgColor indexed="64"/>
      </patternFill>
    </fill>
    <fill>
      <patternFill patternType="solid">
        <fgColor theme="2" tint="-9.9978637043366805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86">
    <xf numFmtId="0" fontId="0" fillId="0" borderId="0" xfId="0"/>
    <xf numFmtId="0" fontId="0" fillId="0" borderId="0" xfId="0" applyAlignment="1">
      <alignment wrapText="1"/>
    </xf>
    <xf numFmtId="0" fontId="2" fillId="0" borderId="0" xfId="0" applyFont="1" applyAlignment="1">
      <alignment horizontal="center"/>
    </xf>
    <xf numFmtId="0" fontId="1"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vertical="top" wrapText="1"/>
    </xf>
    <xf numFmtId="0" fontId="0" fillId="0" borderId="1" xfId="0" quotePrefix="1" applyBorder="1" applyAlignment="1">
      <alignment vertical="top" wrapText="1"/>
    </xf>
    <xf numFmtId="0" fontId="0" fillId="0" borderId="1" xfId="0" applyBorder="1" applyAlignment="1">
      <alignment horizontal="left" vertical="top" wrapText="1"/>
    </xf>
    <xf numFmtId="0" fontId="0" fillId="2" borderId="1" xfId="0" applyFill="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0" fillId="0" borderId="2" xfId="0" applyBorder="1" applyAlignment="1">
      <alignment vertical="top" wrapText="1"/>
    </xf>
    <xf numFmtId="0" fontId="3" fillId="6" borderId="1" xfId="0" applyFont="1" applyFill="1" applyBorder="1" applyAlignment="1">
      <alignment horizontal="center" vertical="center" wrapText="1"/>
    </xf>
    <xf numFmtId="0" fontId="6" fillId="0" borderId="2" xfId="0" applyFont="1" applyBorder="1" applyAlignment="1">
      <alignment vertical="top" wrapText="1"/>
    </xf>
    <xf numFmtId="0" fontId="11" fillId="0" borderId="0" xfId="0" applyFont="1" applyAlignment="1">
      <alignment vertical="top" wrapText="1"/>
    </xf>
    <xf numFmtId="0" fontId="12" fillId="8" borderId="0" xfId="0" applyFont="1" applyFill="1" applyAlignment="1">
      <alignment vertical="top"/>
    </xf>
    <xf numFmtId="0" fontId="12" fillId="8" borderId="0" xfId="0" applyFont="1" applyFill="1" applyAlignment="1">
      <alignment vertical="top" wrapText="1"/>
    </xf>
    <xf numFmtId="0" fontId="8" fillId="0" borderId="0" xfId="0" applyFont="1" applyBorder="1" applyAlignment="1">
      <alignment horizontal="left" vertical="top" wrapText="1"/>
    </xf>
    <xf numFmtId="0" fontId="8" fillId="0" borderId="3" xfId="0" applyFont="1" applyBorder="1" applyAlignment="1">
      <alignment horizontal="left" vertical="top" wrapText="1"/>
    </xf>
    <xf numFmtId="0" fontId="8" fillId="0" borderId="0" xfId="0" applyFont="1" applyAlignment="1">
      <alignment horizontal="left" vertical="top" wrapText="1"/>
    </xf>
    <xf numFmtId="0" fontId="8" fillId="9" borderId="0" xfId="0" applyFont="1" applyFill="1" applyAlignment="1">
      <alignment horizontal="left" vertical="top" wrapText="1"/>
    </xf>
    <xf numFmtId="0" fontId="8" fillId="0" borderId="0" xfId="0" applyFont="1" applyAlignment="1">
      <alignment vertical="top" wrapText="1"/>
    </xf>
    <xf numFmtId="0" fontId="8" fillId="9" borderId="0" xfId="0" applyFont="1" applyFill="1" applyAlignment="1">
      <alignment vertical="top" wrapText="1"/>
    </xf>
    <xf numFmtId="0" fontId="12" fillId="10" borderId="0" xfId="0" applyFont="1" applyFill="1" applyAlignment="1">
      <alignment vertical="top" wrapText="1"/>
    </xf>
    <xf numFmtId="0" fontId="8" fillId="9" borderId="3" xfId="0" applyFont="1" applyFill="1" applyBorder="1" applyAlignment="1">
      <alignment horizontal="left" vertical="top" wrapText="1"/>
    </xf>
    <xf numFmtId="0" fontId="8" fillId="0" borderId="4" xfId="0" applyFont="1" applyBorder="1" applyAlignment="1">
      <alignment vertical="top" wrapText="1"/>
    </xf>
    <xf numFmtId="0" fontId="8" fillId="0" borderId="0" xfId="0" applyFont="1" applyBorder="1" applyAlignment="1">
      <alignment vertical="top" wrapText="1"/>
    </xf>
    <xf numFmtId="0" fontId="8" fillId="9" borderId="0" xfId="0" applyFont="1" applyFill="1" applyBorder="1" applyAlignment="1">
      <alignment vertical="top" wrapText="1"/>
    </xf>
    <xf numFmtId="0" fontId="8" fillId="0" borderId="3" xfId="0" applyFont="1" applyBorder="1" applyAlignment="1">
      <alignment vertical="top" wrapText="1"/>
    </xf>
    <xf numFmtId="0" fontId="8" fillId="9" borderId="4" xfId="0" applyFont="1" applyFill="1" applyBorder="1" applyAlignment="1">
      <alignment vertical="top" wrapText="1"/>
    </xf>
    <xf numFmtId="0" fontId="9" fillId="0" borderId="3" xfId="0" applyFont="1" applyBorder="1" applyAlignment="1">
      <alignment vertical="top" wrapText="1"/>
    </xf>
    <xf numFmtId="0" fontId="13" fillId="0" borderId="0" xfId="0" applyFont="1" applyAlignment="1">
      <alignment vertical="top"/>
    </xf>
    <xf numFmtId="0" fontId="8" fillId="0" borderId="0" xfId="0" applyFont="1" applyAlignment="1">
      <alignment vertical="top"/>
    </xf>
    <xf numFmtId="0" fontId="12" fillId="0" borderId="0" xfId="0" applyFont="1" applyAlignment="1">
      <alignment vertical="top"/>
    </xf>
    <xf numFmtId="0" fontId="13" fillId="7" borderId="0" xfId="0" applyFont="1" applyFill="1" applyBorder="1" applyAlignment="1">
      <alignment vertical="top"/>
    </xf>
    <xf numFmtId="0" fontId="8" fillId="7" borderId="0" xfId="0" applyFont="1" applyFill="1" applyAlignment="1">
      <alignment vertical="top"/>
    </xf>
    <xf numFmtId="0" fontId="13" fillId="7" borderId="0" xfId="0" applyFont="1" applyFill="1" applyBorder="1" applyAlignment="1">
      <alignment vertical="top" wrapText="1"/>
    </xf>
    <xf numFmtId="0" fontId="13" fillId="7" borderId="3" xfId="0" applyFont="1" applyFill="1" applyBorder="1" applyAlignment="1">
      <alignment vertical="top" wrapText="1"/>
    </xf>
    <xf numFmtId="0" fontId="13" fillId="7" borderId="3" xfId="0" applyFont="1" applyFill="1" applyBorder="1" applyAlignment="1">
      <alignment vertical="top"/>
    </xf>
    <xf numFmtId="0" fontId="13" fillId="7" borderId="0" xfId="0" applyFont="1" applyFill="1" applyAlignment="1">
      <alignment vertical="top" wrapText="1"/>
    </xf>
    <xf numFmtId="0" fontId="13" fillId="7" borderId="0" xfId="0" applyFont="1" applyFill="1" applyAlignment="1">
      <alignment vertical="top"/>
    </xf>
    <xf numFmtId="0" fontId="13" fillId="7" borderId="4" xfId="0" applyFont="1" applyFill="1" applyBorder="1" applyAlignment="1">
      <alignment vertical="top" wrapText="1"/>
    </xf>
    <xf numFmtId="0" fontId="13" fillId="7" borderId="4" xfId="0" applyFont="1" applyFill="1" applyBorder="1" applyAlignment="1">
      <alignment vertical="top"/>
    </xf>
    <xf numFmtId="0" fontId="8" fillId="0" borderId="4" xfId="0" applyFont="1" applyBorder="1" applyAlignment="1">
      <alignment horizontal="left" vertical="top" wrapText="1"/>
    </xf>
    <xf numFmtId="0" fontId="8" fillId="9" borderId="0" xfId="0" applyFont="1" applyFill="1" applyBorder="1" applyAlignment="1">
      <alignment horizontal="left" vertical="top" wrapText="1"/>
    </xf>
    <xf numFmtId="0" fontId="8" fillId="9" borderId="4" xfId="0" applyFont="1" applyFill="1" applyBorder="1" applyAlignment="1">
      <alignment horizontal="left" vertical="top" wrapText="1"/>
    </xf>
    <xf numFmtId="0" fontId="8" fillId="0" borderId="0" xfId="0" applyFont="1" applyAlignment="1">
      <alignment horizontal="left" vertical="top"/>
    </xf>
    <xf numFmtId="0" fontId="13" fillId="0" borderId="0" xfId="0" applyFont="1" applyAlignment="1">
      <alignment vertical="top" wrapText="1"/>
    </xf>
    <xf numFmtId="0" fontId="8" fillId="0" borderId="0" xfId="0" quotePrefix="1" applyFont="1" applyBorder="1" applyAlignment="1">
      <alignment vertical="top" wrapText="1"/>
    </xf>
    <xf numFmtId="0" fontId="8" fillId="0" borderId="0" xfId="0" applyFont="1" applyBorder="1" applyAlignment="1">
      <alignment vertical="top"/>
    </xf>
    <xf numFmtId="0" fontId="8" fillId="7" borderId="0" xfId="0" applyFont="1" applyFill="1" applyBorder="1" applyAlignment="1">
      <alignment horizontal="left" vertical="top" wrapText="1"/>
    </xf>
    <xf numFmtId="0" fontId="8" fillId="7" borderId="0" xfId="0" applyFont="1" applyFill="1" applyBorder="1" applyAlignment="1">
      <alignment vertical="top" wrapText="1"/>
    </xf>
    <xf numFmtId="0" fontId="9" fillId="7" borderId="0" xfId="0" applyFont="1" applyFill="1" applyBorder="1" applyAlignment="1">
      <alignment vertical="top" wrapText="1"/>
    </xf>
    <xf numFmtId="0" fontId="13" fillId="11" borderId="0" xfId="0" applyFont="1" applyFill="1" applyAlignment="1">
      <alignment vertical="top" wrapText="1"/>
    </xf>
    <xf numFmtId="0" fontId="13" fillId="11" borderId="0" xfId="0" applyFont="1" applyFill="1" applyAlignment="1">
      <alignment vertical="top"/>
    </xf>
    <xf numFmtId="0" fontId="8" fillId="11" borderId="0" xfId="0" applyFont="1" applyFill="1" applyAlignment="1">
      <alignment horizontal="left" vertical="top" wrapText="1"/>
    </xf>
    <xf numFmtId="0" fontId="8" fillId="11" borderId="0" xfId="0" applyFont="1" applyFill="1" applyAlignment="1">
      <alignment vertical="top" wrapText="1"/>
    </xf>
    <xf numFmtId="0" fontId="8" fillId="10" borderId="0" xfId="0" applyFont="1" applyFill="1" applyAlignment="1">
      <alignment vertical="top" wrapText="1"/>
    </xf>
    <xf numFmtId="0" fontId="12" fillId="2" borderId="0" xfId="0" applyFont="1" applyFill="1" applyAlignment="1">
      <alignment vertical="top" wrapText="1"/>
    </xf>
    <xf numFmtId="0" fontId="8" fillId="7" borderId="4" xfId="0" applyFont="1" applyFill="1" applyBorder="1" applyAlignment="1">
      <alignment horizontal="left" vertical="top" wrapText="1"/>
    </xf>
    <xf numFmtId="0" fontId="8" fillId="7" borderId="4" xfId="0" quotePrefix="1" applyFont="1" applyFill="1" applyBorder="1" applyAlignment="1">
      <alignment horizontal="left" vertical="top" wrapText="1"/>
    </xf>
    <xf numFmtId="0" fontId="8" fillId="7" borderId="0" xfId="0" applyFont="1" applyFill="1" applyBorder="1" applyAlignment="1">
      <alignment vertical="top"/>
    </xf>
    <xf numFmtId="0" fontId="13" fillId="12" borderId="0" xfId="0" applyFont="1" applyFill="1" applyBorder="1" applyAlignment="1">
      <alignment vertical="top" wrapText="1"/>
    </xf>
    <xf numFmtId="0" fontId="13" fillId="12" borderId="0" xfId="0" applyFont="1" applyFill="1" applyBorder="1" applyAlignment="1">
      <alignment vertical="top"/>
    </xf>
    <xf numFmtId="0" fontId="8" fillId="12" borderId="0" xfId="0" applyFont="1" applyFill="1" applyBorder="1" applyAlignment="1">
      <alignment horizontal="left" vertical="top" wrapText="1"/>
    </xf>
    <xf numFmtId="0" fontId="8" fillId="0" borderId="4" xfId="0" quotePrefix="1" applyFont="1" applyBorder="1" applyAlignment="1">
      <alignment horizontal="left" vertical="top" wrapText="1"/>
    </xf>
    <xf numFmtId="0" fontId="8" fillId="12" borderId="4" xfId="0" applyFont="1" applyFill="1" applyBorder="1" applyAlignment="1">
      <alignment horizontal="left" vertical="top" wrapText="1"/>
    </xf>
    <xf numFmtId="0" fontId="8" fillId="12" borderId="0" xfId="0" applyFont="1" applyFill="1" applyBorder="1" applyAlignment="1">
      <alignment vertical="top" wrapText="1"/>
    </xf>
    <xf numFmtId="0" fontId="8" fillId="12" borderId="0" xfId="0" quotePrefix="1" applyFont="1" applyFill="1" applyBorder="1" applyAlignment="1">
      <alignment vertical="top" wrapText="1"/>
    </xf>
    <xf numFmtId="0" fontId="8" fillId="12" borderId="0" xfId="0" applyFont="1" applyFill="1" applyAlignment="1">
      <alignment vertical="top"/>
    </xf>
    <xf numFmtId="0" fontId="0" fillId="0" borderId="0" xfId="0" applyBorder="1"/>
    <xf numFmtId="0" fontId="0" fillId="0" borderId="9" xfId="0" applyBorder="1" applyAlignment="1">
      <alignment wrapText="1"/>
    </xf>
    <xf numFmtId="0" fontId="0" fillId="0" borderId="11" xfId="0" applyBorder="1"/>
    <xf numFmtId="0" fontId="0" fillId="0" borderId="12" xfId="0" applyBorder="1" applyAlignment="1">
      <alignment wrapText="1"/>
    </xf>
    <xf numFmtId="0" fontId="1" fillId="13" borderId="5" xfId="0" applyFont="1" applyFill="1" applyBorder="1"/>
    <xf numFmtId="0" fontId="1" fillId="13" borderId="6" xfId="0" applyFont="1" applyFill="1" applyBorder="1"/>
    <xf numFmtId="0" fontId="1" fillId="13" borderId="7" xfId="0" applyFont="1" applyFill="1" applyBorder="1" applyAlignment="1">
      <alignment wrapText="1"/>
    </xf>
    <xf numFmtId="0" fontId="0" fillId="0" borderId="8" xfId="0" applyBorder="1" applyAlignment="1">
      <alignment horizontal="left" vertical="top"/>
    </xf>
    <xf numFmtId="0" fontId="0" fillId="0" borderId="10" xfId="0" applyBorder="1" applyAlignment="1">
      <alignment horizontal="left" vertical="top"/>
    </xf>
    <xf numFmtId="0" fontId="13" fillId="7" borderId="0" xfId="0" applyFont="1" applyFill="1" applyBorder="1" applyAlignment="1">
      <alignment horizontal="left" vertical="top" wrapText="1"/>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colors>
    <mruColors>
      <color rgb="FFEDFCFC"/>
      <color rgb="FFF2F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Quyen Nguyen" id="{2BA574CE-146D-4A71-9D79-C63F12090AE0}" userId="S::q.nguyen@gns.cri.nz::db285749-1f94-4021-b58f-c5f9a41da51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uyen Nguyen" refreshedDate="45440.72943796296" createdVersion="8" refreshedVersion="8" minRefreshableVersion="3" recordCount="121" xr:uid="{CB48573C-70B9-4FAB-94BD-BB7E66D95071}">
  <cacheSource type="worksheet">
    <worksheetSource ref="B1:B122" sheet="standardized_list"/>
  </cacheSource>
  <cacheFields count="1">
    <cacheField name="0" numFmtId="0">
      <sharedItems count="15">
        <s v="NGFS-orderly"/>
        <s v="SSP1-1.9"/>
        <s v="NGFS-net zero"/>
        <s v="NGFS-hot house world"/>
        <s v="disorderly"/>
        <s v="NGFS-too little too late"/>
        <s v="other"/>
        <s v="NGFS-generic"/>
        <s v="SSP2-4.5"/>
        <s v="SSP2-2.6"/>
        <s v="NGFS-delayed"/>
        <s v="NGFS-current policies"/>
        <s v="SSP-generic"/>
        <s v="MFE scenarios"/>
        <s v="NGFS-ndc"/>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x v="0"/>
  </r>
  <r>
    <x v="1"/>
  </r>
  <r>
    <x v="2"/>
  </r>
  <r>
    <x v="0"/>
  </r>
  <r>
    <x v="3"/>
  </r>
  <r>
    <x v="4"/>
  </r>
  <r>
    <x v="0"/>
  </r>
  <r>
    <x v="5"/>
  </r>
  <r>
    <x v="3"/>
  </r>
  <r>
    <x v="6"/>
  </r>
  <r>
    <x v="6"/>
  </r>
  <r>
    <x v="7"/>
  </r>
  <r>
    <x v="6"/>
  </r>
  <r>
    <x v="1"/>
  </r>
  <r>
    <x v="8"/>
  </r>
  <r>
    <x v="9"/>
  </r>
  <r>
    <x v="0"/>
  </r>
  <r>
    <x v="5"/>
  </r>
  <r>
    <x v="3"/>
  </r>
  <r>
    <x v="2"/>
  </r>
  <r>
    <x v="10"/>
  </r>
  <r>
    <x v="11"/>
  </r>
  <r>
    <x v="6"/>
  </r>
  <r>
    <x v="10"/>
  </r>
  <r>
    <x v="6"/>
  </r>
  <r>
    <x v="6"/>
  </r>
  <r>
    <x v="6"/>
  </r>
  <r>
    <x v="6"/>
  </r>
  <r>
    <x v="0"/>
  </r>
  <r>
    <x v="4"/>
  </r>
  <r>
    <x v="3"/>
  </r>
  <r>
    <x v="6"/>
  </r>
  <r>
    <x v="6"/>
  </r>
  <r>
    <x v="6"/>
  </r>
  <r>
    <x v="6"/>
  </r>
  <r>
    <x v="6"/>
  </r>
  <r>
    <x v="6"/>
  </r>
  <r>
    <x v="12"/>
  </r>
  <r>
    <x v="7"/>
  </r>
  <r>
    <x v="6"/>
  </r>
  <r>
    <x v="6"/>
  </r>
  <r>
    <x v="6"/>
  </r>
  <r>
    <x v="12"/>
  </r>
  <r>
    <x v="6"/>
  </r>
  <r>
    <x v="6"/>
  </r>
  <r>
    <x v="0"/>
  </r>
  <r>
    <x v="4"/>
  </r>
  <r>
    <x v="3"/>
  </r>
  <r>
    <x v="6"/>
  </r>
  <r>
    <x v="6"/>
  </r>
  <r>
    <x v="6"/>
  </r>
  <r>
    <x v="6"/>
  </r>
  <r>
    <x v="6"/>
  </r>
  <r>
    <x v="13"/>
  </r>
  <r>
    <x v="6"/>
  </r>
  <r>
    <x v="6"/>
  </r>
  <r>
    <x v="13"/>
  </r>
  <r>
    <x v="6"/>
  </r>
  <r>
    <x v="0"/>
  </r>
  <r>
    <x v="4"/>
  </r>
  <r>
    <x v="3"/>
  </r>
  <r>
    <x v="2"/>
  </r>
  <r>
    <x v="10"/>
  </r>
  <r>
    <x v="11"/>
  </r>
  <r>
    <x v="1"/>
  </r>
  <r>
    <x v="8"/>
  </r>
  <r>
    <x v="6"/>
  </r>
  <r>
    <x v="2"/>
  </r>
  <r>
    <x v="2"/>
  </r>
  <r>
    <x v="14"/>
  </r>
  <r>
    <x v="6"/>
  </r>
  <r>
    <x v="11"/>
  </r>
  <r>
    <x v="6"/>
  </r>
  <r>
    <x v="9"/>
  </r>
  <r>
    <x v="8"/>
  </r>
  <r>
    <x v="6"/>
  </r>
  <r>
    <x v="6"/>
  </r>
  <r>
    <x v="6"/>
  </r>
  <r>
    <x v="6"/>
  </r>
  <r>
    <x v="6"/>
  </r>
  <r>
    <x v="12"/>
  </r>
  <r>
    <x v="7"/>
  </r>
  <r>
    <x v="2"/>
  </r>
  <r>
    <x v="4"/>
  </r>
  <r>
    <x v="3"/>
  </r>
  <r>
    <x v="0"/>
  </r>
  <r>
    <x v="5"/>
  </r>
  <r>
    <x v="3"/>
  </r>
  <r>
    <x v="6"/>
  </r>
  <r>
    <x v="6"/>
  </r>
  <r>
    <x v="6"/>
  </r>
  <r>
    <x v="6"/>
  </r>
  <r>
    <x v="0"/>
  </r>
  <r>
    <x v="2"/>
  </r>
  <r>
    <x v="6"/>
  </r>
  <r>
    <x v="6"/>
  </r>
  <r>
    <x v="6"/>
  </r>
  <r>
    <x v="6"/>
  </r>
  <r>
    <x v="6"/>
  </r>
  <r>
    <x v="0"/>
  </r>
  <r>
    <x v="5"/>
  </r>
  <r>
    <x v="3"/>
  </r>
  <r>
    <x v="6"/>
  </r>
  <r>
    <x v="6"/>
  </r>
  <r>
    <x v="2"/>
  </r>
  <r>
    <x v="6"/>
  </r>
  <r>
    <x v="1"/>
  </r>
  <r>
    <x v="6"/>
  </r>
  <r>
    <x v="6"/>
  </r>
  <r>
    <x v="6"/>
  </r>
  <r>
    <x v="6"/>
  </r>
  <r>
    <x v="6"/>
  </r>
  <r>
    <x v="6"/>
  </r>
  <r>
    <x v="6"/>
  </r>
  <r>
    <x v="0"/>
  </r>
  <r>
    <x v="3"/>
  </r>
  <r>
    <x v="5"/>
  </r>
  <r>
    <x v="9"/>
  </r>
  <r>
    <x v="8"/>
  </r>
  <r>
    <x v="6"/>
  </r>
  <r>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471C38-E2D9-49F9-A38D-450A2E87A76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9" firstHeaderRow="1" firstDataRow="1" firstDataCol="1"/>
  <pivotFields count="1">
    <pivotField axis="axisRow" showAll="0">
      <items count="16">
        <item x="4"/>
        <item x="13"/>
        <item x="11"/>
        <item x="10"/>
        <item x="7"/>
        <item x="3"/>
        <item x="14"/>
        <item x="2"/>
        <item x="0"/>
        <item x="5"/>
        <item x="6"/>
        <item x="1"/>
        <item x="9"/>
        <item x="8"/>
        <item x="12"/>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3" dT="2024-05-09T02:57:14.67" personId="{2BA574CE-146D-4A71-9D79-C63F12090AE0}" id="{F0F8A2D6-0AA2-4B5F-8EF5-B8FA4D297744}">
    <text>Test with chatGPT</text>
  </threadedComment>
  <threadedComment ref="V3" dT="2024-05-09T02:57:14.67" personId="{2BA574CE-146D-4A71-9D79-C63F12090AE0}" id="{EB0723A6-4807-406C-B3C4-B9F2F86A1E03}">
    <text>Test with chatGPT</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FF114-2DD2-4571-8F2F-3F111BAAB48D}">
  <dimension ref="A3:A19"/>
  <sheetViews>
    <sheetView workbookViewId="0">
      <selection activeCell="A3" sqref="A3"/>
    </sheetView>
  </sheetViews>
  <sheetFormatPr defaultRowHeight="15" x14ac:dyDescent="0.25"/>
  <cols>
    <col min="1" max="1" width="21.85546875" bestFit="1" customWidth="1"/>
  </cols>
  <sheetData>
    <row r="3" spans="1:1" x14ac:dyDescent="0.25">
      <c r="A3" s="84" t="s">
        <v>694</v>
      </c>
    </row>
    <row r="4" spans="1:1" x14ac:dyDescent="0.25">
      <c r="A4" s="85" t="s">
        <v>572</v>
      </c>
    </row>
    <row r="5" spans="1:1" x14ac:dyDescent="0.25">
      <c r="A5" s="85" t="s">
        <v>626</v>
      </c>
    </row>
    <row r="6" spans="1:1" x14ac:dyDescent="0.25">
      <c r="A6" s="85" t="s">
        <v>593</v>
      </c>
    </row>
    <row r="7" spans="1:1" x14ac:dyDescent="0.25">
      <c r="A7" s="85" t="s">
        <v>591</v>
      </c>
    </row>
    <row r="8" spans="1:1" x14ac:dyDescent="0.25">
      <c r="A8" s="85" t="s">
        <v>581</v>
      </c>
    </row>
    <row r="9" spans="1:1" x14ac:dyDescent="0.25">
      <c r="A9" s="85" t="s">
        <v>570</v>
      </c>
    </row>
    <row r="10" spans="1:1" x14ac:dyDescent="0.25">
      <c r="A10" s="85" t="s">
        <v>642</v>
      </c>
    </row>
    <row r="11" spans="1:1" x14ac:dyDescent="0.25">
      <c r="A11" s="85" t="s">
        <v>567</v>
      </c>
    </row>
    <row r="12" spans="1:1" x14ac:dyDescent="0.25">
      <c r="A12" s="85" t="s">
        <v>563</v>
      </c>
    </row>
    <row r="13" spans="1:1" x14ac:dyDescent="0.25">
      <c r="A13" s="85" t="s">
        <v>575</v>
      </c>
    </row>
    <row r="14" spans="1:1" x14ac:dyDescent="0.25">
      <c r="A14" s="85" t="s">
        <v>578</v>
      </c>
    </row>
    <row r="15" spans="1:1" x14ac:dyDescent="0.25">
      <c r="A15" s="85" t="s">
        <v>565</v>
      </c>
    </row>
    <row r="16" spans="1:1" x14ac:dyDescent="0.25">
      <c r="A16" s="85" t="s">
        <v>585</v>
      </c>
    </row>
    <row r="17" spans="1:1" x14ac:dyDescent="0.25">
      <c r="A17" s="85" t="s">
        <v>583</v>
      </c>
    </row>
    <row r="18" spans="1:1" x14ac:dyDescent="0.25">
      <c r="A18" s="85" t="s">
        <v>609</v>
      </c>
    </row>
    <row r="19" spans="1:1" x14ac:dyDescent="0.25">
      <c r="A19" s="85" t="s">
        <v>695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368BC-EBEC-4024-BAFD-AAC840F38AB6}">
  <dimension ref="A1:B122"/>
  <sheetViews>
    <sheetView tabSelected="1" workbookViewId="0">
      <selection activeCell="A129" sqref="A129"/>
    </sheetView>
  </sheetViews>
  <sheetFormatPr defaultRowHeight="15" x14ac:dyDescent="0.25"/>
  <cols>
    <col min="1" max="1" width="112.28515625" bestFit="1" customWidth="1"/>
    <col min="2" max="2" width="14.5703125" customWidth="1"/>
  </cols>
  <sheetData>
    <row r="1" spans="1:2" x14ac:dyDescent="0.25">
      <c r="A1" t="s">
        <v>696</v>
      </c>
      <c r="B1" t="s">
        <v>697</v>
      </c>
    </row>
    <row r="2" spans="1:2" x14ac:dyDescent="0.25">
      <c r="A2" t="s">
        <v>571</v>
      </c>
      <c r="B2" t="s">
        <v>572</v>
      </c>
    </row>
    <row r="3" spans="1:2" x14ac:dyDescent="0.25">
      <c r="A3" t="s">
        <v>572</v>
      </c>
      <c r="B3" t="s">
        <v>572</v>
      </c>
    </row>
    <row r="4" spans="1:2" x14ac:dyDescent="0.25">
      <c r="A4" t="s">
        <v>618</v>
      </c>
      <c r="B4" t="s">
        <v>572</v>
      </c>
    </row>
    <row r="5" spans="1:2" x14ac:dyDescent="0.25">
      <c r="A5" t="s">
        <v>631</v>
      </c>
      <c r="B5" t="s">
        <v>572</v>
      </c>
    </row>
    <row r="6" spans="1:2" x14ac:dyDescent="0.25">
      <c r="A6" t="s">
        <v>656</v>
      </c>
      <c r="B6" t="s">
        <v>572</v>
      </c>
    </row>
    <row r="7" spans="1:2" x14ac:dyDescent="0.25">
      <c r="A7" t="s">
        <v>625</v>
      </c>
      <c r="B7" t="s">
        <v>626</v>
      </c>
    </row>
    <row r="8" spans="1:2" x14ac:dyDescent="0.25">
      <c r="A8" t="s">
        <v>629</v>
      </c>
      <c r="B8" t="s">
        <v>626</v>
      </c>
    </row>
    <row r="9" spans="1:2" x14ac:dyDescent="0.25">
      <c r="A9" t="s">
        <v>592</v>
      </c>
      <c r="B9" t="s">
        <v>593</v>
      </c>
    </row>
    <row r="10" spans="1:2" x14ac:dyDescent="0.25">
      <c r="A10" t="s">
        <v>635</v>
      </c>
      <c r="B10" t="s">
        <v>593</v>
      </c>
    </row>
    <row r="11" spans="1:2" x14ac:dyDescent="0.25">
      <c r="A11" t="s">
        <v>644</v>
      </c>
      <c r="B11" t="s">
        <v>593</v>
      </c>
    </row>
    <row r="12" spans="1:2" x14ac:dyDescent="0.25">
      <c r="A12" t="s">
        <v>590</v>
      </c>
      <c r="B12" t="s">
        <v>591</v>
      </c>
    </row>
    <row r="13" spans="1:2" x14ac:dyDescent="0.25">
      <c r="A13" t="s">
        <v>595</v>
      </c>
      <c r="B13" t="s">
        <v>591</v>
      </c>
    </row>
    <row r="14" spans="1:2" x14ac:dyDescent="0.25">
      <c r="A14" t="s">
        <v>634</v>
      </c>
      <c r="B14" t="s">
        <v>591</v>
      </c>
    </row>
    <row r="15" spans="1:2" x14ac:dyDescent="0.25">
      <c r="A15" t="s">
        <v>580</v>
      </c>
      <c r="B15" t="s">
        <v>581</v>
      </c>
    </row>
    <row r="16" spans="1:2" x14ac:dyDescent="0.25">
      <c r="A16" t="s">
        <v>610</v>
      </c>
      <c r="B16" t="s">
        <v>581</v>
      </c>
    </row>
    <row r="17" spans="1:2" x14ac:dyDescent="0.25">
      <c r="A17" t="s">
        <v>654</v>
      </c>
      <c r="B17" t="s">
        <v>581</v>
      </c>
    </row>
    <row r="18" spans="1:2" x14ac:dyDescent="0.25">
      <c r="A18" t="s">
        <v>569</v>
      </c>
      <c r="B18" t="s">
        <v>570</v>
      </c>
    </row>
    <row r="19" spans="1:2" x14ac:dyDescent="0.25">
      <c r="A19" t="s">
        <v>576</v>
      </c>
      <c r="B19" t="s">
        <v>570</v>
      </c>
    </row>
    <row r="20" spans="1:2" x14ac:dyDescent="0.25">
      <c r="A20" t="s">
        <v>588</v>
      </c>
      <c r="B20" t="s">
        <v>570</v>
      </c>
    </row>
    <row r="21" spans="1:2" x14ac:dyDescent="0.25">
      <c r="A21" t="s">
        <v>601</v>
      </c>
      <c r="B21" t="s">
        <v>570</v>
      </c>
    </row>
    <row r="22" spans="1:2" x14ac:dyDescent="0.25">
      <c r="A22" t="s">
        <v>619</v>
      </c>
      <c r="B22" t="s">
        <v>570</v>
      </c>
    </row>
    <row r="23" spans="1:2" x14ac:dyDescent="0.25">
      <c r="A23" t="s">
        <v>632</v>
      </c>
      <c r="B23" t="s">
        <v>570</v>
      </c>
    </row>
    <row r="24" spans="1:2" x14ac:dyDescent="0.25">
      <c r="A24" t="s">
        <v>657</v>
      </c>
      <c r="B24" t="s">
        <v>570</v>
      </c>
    </row>
    <row r="25" spans="1:2" x14ac:dyDescent="0.25">
      <c r="A25" t="s">
        <v>660</v>
      </c>
      <c r="B25" t="s">
        <v>570</v>
      </c>
    </row>
    <row r="26" spans="1:2" x14ac:dyDescent="0.25">
      <c r="A26" t="s">
        <v>674</v>
      </c>
      <c r="B26" t="s">
        <v>570</v>
      </c>
    </row>
    <row r="27" spans="1:2" x14ac:dyDescent="0.25">
      <c r="A27" t="s">
        <v>688</v>
      </c>
      <c r="B27" t="s">
        <v>570</v>
      </c>
    </row>
    <row r="28" spans="1:2" x14ac:dyDescent="0.25">
      <c r="A28" t="s">
        <v>641</v>
      </c>
      <c r="B28" t="s">
        <v>642</v>
      </c>
    </row>
    <row r="29" spans="1:2" x14ac:dyDescent="0.25">
      <c r="A29" t="s">
        <v>566</v>
      </c>
      <c r="B29" t="s">
        <v>567</v>
      </c>
    </row>
    <row r="30" spans="1:2" x14ac:dyDescent="0.25">
      <c r="A30" t="s">
        <v>589</v>
      </c>
      <c r="B30" t="s">
        <v>567</v>
      </c>
    </row>
    <row r="31" spans="1:2" x14ac:dyDescent="0.25">
      <c r="A31" t="s">
        <v>633</v>
      </c>
      <c r="B31" t="s">
        <v>567</v>
      </c>
    </row>
    <row r="32" spans="1:2" x14ac:dyDescent="0.25">
      <c r="A32" t="s">
        <v>639</v>
      </c>
      <c r="B32" t="s">
        <v>567</v>
      </c>
    </row>
    <row r="33" spans="1:2" x14ac:dyDescent="0.25">
      <c r="A33" t="s">
        <v>640</v>
      </c>
      <c r="B33" t="s">
        <v>567</v>
      </c>
    </row>
    <row r="34" spans="1:2" x14ac:dyDescent="0.25">
      <c r="A34" t="s">
        <v>655</v>
      </c>
      <c r="B34" t="s">
        <v>567</v>
      </c>
    </row>
    <row r="35" spans="1:2" x14ac:dyDescent="0.25">
      <c r="A35" t="s">
        <v>666</v>
      </c>
      <c r="B35" t="s">
        <v>567</v>
      </c>
    </row>
    <row r="36" spans="1:2" x14ac:dyDescent="0.25">
      <c r="A36" t="s">
        <v>677</v>
      </c>
      <c r="B36" t="s">
        <v>567</v>
      </c>
    </row>
    <row r="37" spans="1:2" x14ac:dyDescent="0.25">
      <c r="A37" t="s">
        <v>562</v>
      </c>
      <c r="B37" t="s">
        <v>563</v>
      </c>
    </row>
    <row r="38" spans="1:2" x14ac:dyDescent="0.25">
      <c r="A38" t="s">
        <v>568</v>
      </c>
      <c r="B38" t="s">
        <v>563</v>
      </c>
    </row>
    <row r="39" spans="1:2" x14ac:dyDescent="0.25">
      <c r="A39" t="s">
        <v>573</v>
      </c>
      <c r="B39" t="s">
        <v>563</v>
      </c>
    </row>
    <row r="40" spans="1:2" x14ac:dyDescent="0.25">
      <c r="A40" t="s">
        <v>586</v>
      </c>
      <c r="B40" t="s">
        <v>563</v>
      </c>
    </row>
    <row r="41" spans="1:2" x14ac:dyDescent="0.25">
      <c r="A41" t="s">
        <v>600</v>
      </c>
      <c r="B41" t="s">
        <v>563</v>
      </c>
    </row>
    <row r="42" spans="1:2" x14ac:dyDescent="0.25">
      <c r="A42" t="s">
        <v>617</v>
      </c>
      <c r="B42" t="s">
        <v>563</v>
      </c>
    </row>
    <row r="43" spans="1:2" x14ac:dyDescent="0.25">
      <c r="A43" t="s">
        <v>630</v>
      </c>
      <c r="B43" t="s">
        <v>563</v>
      </c>
    </row>
    <row r="44" spans="1:2" x14ac:dyDescent="0.25">
      <c r="A44" t="s">
        <v>658</v>
      </c>
      <c r="B44" t="s">
        <v>563</v>
      </c>
    </row>
    <row r="45" spans="1:2" x14ac:dyDescent="0.25">
      <c r="A45" t="s">
        <v>665</v>
      </c>
      <c r="B45" t="s">
        <v>563</v>
      </c>
    </row>
    <row r="46" spans="1:2" x14ac:dyDescent="0.25">
      <c r="A46" t="s">
        <v>672</v>
      </c>
      <c r="B46" t="s">
        <v>563</v>
      </c>
    </row>
    <row r="47" spans="1:2" x14ac:dyDescent="0.25">
      <c r="A47" t="s">
        <v>687</v>
      </c>
      <c r="B47" t="s">
        <v>563</v>
      </c>
    </row>
    <row r="48" spans="1:2" x14ac:dyDescent="0.25">
      <c r="A48" t="s">
        <v>574</v>
      </c>
      <c r="B48" t="s">
        <v>575</v>
      </c>
    </row>
    <row r="49" spans="1:2" x14ac:dyDescent="0.25">
      <c r="A49" t="s">
        <v>587</v>
      </c>
      <c r="B49" t="s">
        <v>575</v>
      </c>
    </row>
    <row r="50" spans="1:2" x14ac:dyDescent="0.25">
      <c r="A50" t="s">
        <v>659</v>
      </c>
      <c r="B50" t="s">
        <v>575</v>
      </c>
    </row>
    <row r="51" spans="1:2" x14ac:dyDescent="0.25">
      <c r="A51" t="s">
        <v>673</v>
      </c>
      <c r="B51" t="s">
        <v>575</v>
      </c>
    </row>
    <row r="52" spans="1:2" x14ac:dyDescent="0.25">
      <c r="A52" t="s">
        <v>689</v>
      </c>
      <c r="B52" t="s">
        <v>575</v>
      </c>
    </row>
    <row r="53" spans="1:2" x14ac:dyDescent="0.25">
      <c r="A53" t="s">
        <v>577</v>
      </c>
      <c r="B53" t="s">
        <v>578</v>
      </c>
    </row>
    <row r="54" spans="1:2" x14ac:dyDescent="0.25">
      <c r="A54" t="s">
        <v>579</v>
      </c>
      <c r="B54" t="s">
        <v>578</v>
      </c>
    </row>
    <row r="55" spans="1:2" x14ac:dyDescent="0.25">
      <c r="A55" t="s">
        <v>582</v>
      </c>
      <c r="B55" t="s">
        <v>578</v>
      </c>
    </row>
    <row r="56" spans="1:2" x14ac:dyDescent="0.25">
      <c r="A56" t="s">
        <v>594</v>
      </c>
      <c r="B56" t="s">
        <v>578</v>
      </c>
    </row>
    <row r="57" spans="1:2" x14ac:dyDescent="0.25">
      <c r="A57" t="s">
        <v>596</v>
      </c>
      <c r="B57" t="s">
        <v>578</v>
      </c>
    </row>
    <row r="58" spans="1:2" x14ac:dyDescent="0.25">
      <c r="A58" t="s">
        <v>597</v>
      </c>
      <c r="B58" t="s">
        <v>578</v>
      </c>
    </row>
    <row r="59" spans="1:2" x14ac:dyDescent="0.25">
      <c r="A59" t="s">
        <v>598</v>
      </c>
      <c r="B59" t="s">
        <v>578</v>
      </c>
    </row>
    <row r="60" spans="1:2" x14ac:dyDescent="0.25">
      <c r="A60" t="s">
        <v>599</v>
      </c>
      <c r="B60" t="s">
        <v>578</v>
      </c>
    </row>
    <row r="61" spans="1:2" x14ac:dyDescent="0.25">
      <c r="A61" t="s">
        <v>602</v>
      </c>
      <c r="B61" t="s">
        <v>578</v>
      </c>
    </row>
    <row r="62" spans="1:2" x14ac:dyDescent="0.25">
      <c r="A62" t="s">
        <v>603</v>
      </c>
      <c r="B62" t="s">
        <v>578</v>
      </c>
    </row>
    <row r="63" spans="1:2" x14ac:dyDescent="0.25">
      <c r="A63" t="s">
        <v>604</v>
      </c>
      <c r="B63" t="s">
        <v>578</v>
      </c>
    </row>
    <row r="64" spans="1:2" x14ac:dyDescent="0.25">
      <c r="A64" t="s">
        <v>605</v>
      </c>
      <c r="B64" t="s">
        <v>578</v>
      </c>
    </row>
    <row r="65" spans="1:2" x14ac:dyDescent="0.25">
      <c r="A65" t="s">
        <v>606</v>
      </c>
      <c r="B65" t="s">
        <v>578</v>
      </c>
    </row>
    <row r="66" spans="1:2" x14ac:dyDescent="0.25">
      <c r="A66" t="s">
        <v>607</v>
      </c>
      <c r="B66" t="s">
        <v>578</v>
      </c>
    </row>
    <row r="67" spans="1:2" x14ac:dyDescent="0.25">
      <c r="A67" t="s">
        <v>611</v>
      </c>
      <c r="B67" t="s">
        <v>578</v>
      </c>
    </row>
    <row r="68" spans="1:2" x14ac:dyDescent="0.25">
      <c r="A68" t="s">
        <v>612</v>
      </c>
      <c r="B68" t="s">
        <v>578</v>
      </c>
    </row>
    <row r="69" spans="1:2" x14ac:dyDescent="0.25">
      <c r="A69" t="s">
        <v>613</v>
      </c>
      <c r="B69" t="s">
        <v>578</v>
      </c>
    </row>
    <row r="70" spans="1:2" x14ac:dyDescent="0.25">
      <c r="A70" t="s">
        <v>615</v>
      </c>
      <c r="B70" t="s">
        <v>578</v>
      </c>
    </row>
    <row r="71" spans="1:2" x14ac:dyDescent="0.25">
      <c r="A71" t="s">
        <v>616</v>
      </c>
      <c r="B71" t="s">
        <v>578</v>
      </c>
    </row>
    <row r="72" spans="1:2" x14ac:dyDescent="0.25">
      <c r="A72" t="s">
        <v>620</v>
      </c>
      <c r="B72" t="s">
        <v>578</v>
      </c>
    </row>
    <row r="73" spans="1:2" x14ac:dyDescent="0.25">
      <c r="A73" t="s">
        <v>621</v>
      </c>
      <c r="B73" t="s">
        <v>578</v>
      </c>
    </row>
    <row r="74" spans="1:2" x14ac:dyDescent="0.25">
      <c r="A74" t="s">
        <v>622</v>
      </c>
      <c r="B74" t="s">
        <v>578</v>
      </c>
    </row>
    <row r="75" spans="1:2" x14ac:dyDescent="0.25">
      <c r="A75" t="s">
        <v>623</v>
      </c>
      <c r="B75" t="s">
        <v>578</v>
      </c>
    </row>
    <row r="76" spans="1:2" x14ac:dyDescent="0.25">
      <c r="A76" t="s">
        <v>624</v>
      </c>
      <c r="B76" t="s">
        <v>578</v>
      </c>
    </row>
    <row r="77" spans="1:2" x14ac:dyDescent="0.25">
      <c r="A77" t="s">
        <v>627</v>
      </c>
      <c r="B77" t="s">
        <v>578</v>
      </c>
    </row>
    <row r="78" spans="1:2" x14ac:dyDescent="0.25">
      <c r="A78" t="s">
        <v>628</v>
      </c>
      <c r="B78" t="s">
        <v>578</v>
      </c>
    </row>
    <row r="79" spans="1:2" x14ac:dyDescent="0.25">
      <c r="B79" t="s">
        <v>578</v>
      </c>
    </row>
    <row r="80" spans="1:2" x14ac:dyDescent="0.25">
      <c r="A80" t="s">
        <v>638</v>
      </c>
      <c r="B80" t="s">
        <v>578</v>
      </c>
    </row>
    <row r="81" spans="1:2" x14ac:dyDescent="0.25">
      <c r="A81" t="s">
        <v>643</v>
      </c>
      <c r="B81" t="s">
        <v>578</v>
      </c>
    </row>
    <row r="82" spans="1:2" x14ac:dyDescent="0.25">
      <c r="A82" t="s">
        <v>645</v>
      </c>
      <c r="B82" t="s">
        <v>578</v>
      </c>
    </row>
    <row r="83" spans="1:2" x14ac:dyDescent="0.25">
      <c r="A83" t="s">
        <v>648</v>
      </c>
      <c r="B83" t="s">
        <v>578</v>
      </c>
    </row>
    <row r="84" spans="1:2" x14ac:dyDescent="0.25">
      <c r="A84" t="s">
        <v>649</v>
      </c>
      <c r="B84" t="s">
        <v>578</v>
      </c>
    </row>
    <row r="85" spans="1:2" x14ac:dyDescent="0.25">
      <c r="A85" t="s">
        <v>650</v>
      </c>
      <c r="B85" t="s">
        <v>578</v>
      </c>
    </row>
    <row r="86" spans="1:2" x14ac:dyDescent="0.25">
      <c r="A86" t="s">
        <v>651</v>
      </c>
      <c r="B86" t="s">
        <v>578</v>
      </c>
    </row>
    <row r="87" spans="1:2" x14ac:dyDescent="0.25">
      <c r="A87" t="s">
        <v>652</v>
      </c>
      <c r="B87" t="s">
        <v>578</v>
      </c>
    </row>
    <row r="88" spans="1:2" x14ac:dyDescent="0.25">
      <c r="A88" t="s">
        <v>661</v>
      </c>
      <c r="B88" t="s">
        <v>578</v>
      </c>
    </row>
    <row r="89" spans="1:2" x14ac:dyDescent="0.25">
      <c r="A89" t="s">
        <v>662</v>
      </c>
      <c r="B89" t="s">
        <v>578</v>
      </c>
    </row>
    <row r="90" spans="1:2" x14ac:dyDescent="0.25">
      <c r="A90" t="s">
        <v>663</v>
      </c>
      <c r="B90" t="s">
        <v>578</v>
      </c>
    </row>
    <row r="91" spans="1:2" x14ac:dyDescent="0.25">
      <c r="A91" t="s">
        <v>664</v>
      </c>
      <c r="B91" t="s">
        <v>578</v>
      </c>
    </row>
    <row r="92" spans="1:2" x14ac:dyDescent="0.25">
      <c r="A92" t="s">
        <v>667</v>
      </c>
      <c r="B92" t="s">
        <v>578</v>
      </c>
    </row>
    <row r="93" spans="1:2" x14ac:dyDescent="0.25">
      <c r="A93" t="s">
        <v>668</v>
      </c>
      <c r="B93" t="s">
        <v>578</v>
      </c>
    </row>
    <row r="94" spans="1:2" x14ac:dyDescent="0.25">
      <c r="A94" t="s">
        <v>669</v>
      </c>
      <c r="B94" t="s">
        <v>578</v>
      </c>
    </row>
    <row r="95" spans="1:2" x14ac:dyDescent="0.25">
      <c r="A95" t="s">
        <v>670</v>
      </c>
      <c r="B95" t="s">
        <v>578</v>
      </c>
    </row>
    <row r="96" spans="1:2" x14ac:dyDescent="0.25">
      <c r="A96" t="s">
        <v>671</v>
      </c>
      <c r="B96" t="s">
        <v>578</v>
      </c>
    </row>
    <row r="97" spans="1:2" x14ac:dyDescent="0.25">
      <c r="A97" t="s">
        <v>675</v>
      </c>
      <c r="B97" t="s">
        <v>578</v>
      </c>
    </row>
    <row r="98" spans="1:2" x14ac:dyDescent="0.25">
      <c r="A98" t="s">
        <v>676</v>
      </c>
      <c r="B98" t="s">
        <v>578</v>
      </c>
    </row>
    <row r="99" spans="1:2" x14ac:dyDescent="0.25">
      <c r="A99" t="s">
        <v>678</v>
      </c>
      <c r="B99" t="s">
        <v>578</v>
      </c>
    </row>
    <row r="100" spans="1:2" x14ac:dyDescent="0.25">
      <c r="A100" t="s">
        <v>680</v>
      </c>
      <c r="B100" t="s">
        <v>578</v>
      </c>
    </row>
    <row r="101" spans="1:2" x14ac:dyDescent="0.25">
      <c r="A101" t="s">
        <v>681</v>
      </c>
      <c r="B101" t="s">
        <v>578</v>
      </c>
    </row>
    <row r="102" spans="1:2" x14ac:dyDescent="0.25">
      <c r="A102" t="s">
        <v>682</v>
      </c>
      <c r="B102" t="s">
        <v>578</v>
      </c>
    </row>
    <row r="103" spans="1:2" x14ac:dyDescent="0.25">
      <c r="A103" t="s">
        <v>683</v>
      </c>
      <c r="B103" t="s">
        <v>578</v>
      </c>
    </row>
    <row r="104" spans="1:2" x14ac:dyDescent="0.25">
      <c r="A104" t="s">
        <v>684</v>
      </c>
      <c r="B104" t="s">
        <v>578</v>
      </c>
    </row>
    <row r="105" spans="1:2" x14ac:dyDescent="0.25">
      <c r="A105" t="s">
        <v>685</v>
      </c>
      <c r="B105" t="s">
        <v>578</v>
      </c>
    </row>
    <row r="106" spans="1:2" x14ac:dyDescent="0.25">
      <c r="A106" t="s">
        <v>686</v>
      </c>
      <c r="B106" t="s">
        <v>578</v>
      </c>
    </row>
    <row r="107" spans="1:2" x14ac:dyDescent="0.25">
      <c r="A107" t="s">
        <v>692</v>
      </c>
      <c r="B107" t="s">
        <v>578</v>
      </c>
    </row>
    <row r="108" spans="1:2" x14ac:dyDescent="0.25">
      <c r="A108" t="s">
        <v>564</v>
      </c>
      <c r="B108" t="s">
        <v>565</v>
      </c>
    </row>
    <row r="109" spans="1:2" x14ac:dyDescent="0.25">
      <c r="A109" t="s">
        <v>565</v>
      </c>
      <c r="B109" t="s">
        <v>565</v>
      </c>
    </row>
    <row r="110" spans="1:2" x14ac:dyDescent="0.25">
      <c r="A110" t="s">
        <v>636</v>
      </c>
      <c r="B110" t="s">
        <v>565</v>
      </c>
    </row>
    <row r="111" spans="1:2" x14ac:dyDescent="0.25">
      <c r="A111" t="s">
        <v>679</v>
      </c>
      <c r="B111" t="s">
        <v>565</v>
      </c>
    </row>
    <row r="112" spans="1:2" x14ac:dyDescent="0.25">
      <c r="A112" t="s">
        <v>584</v>
      </c>
      <c r="B112" t="s">
        <v>585</v>
      </c>
    </row>
    <row r="113" spans="1:2" x14ac:dyDescent="0.25">
      <c r="A113" t="s">
        <v>646</v>
      </c>
      <c r="B113" t="s">
        <v>585</v>
      </c>
    </row>
    <row r="114" spans="1:2" x14ac:dyDescent="0.25">
      <c r="A114" t="s">
        <v>690</v>
      </c>
      <c r="B114" t="s">
        <v>585</v>
      </c>
    </row>
    <row r="115" spans="1:2" x14ac:dyDescent="0.25">
      <c r="A115" t="s">
        <v>583</v>
      </c>
      <c r="B115" t="s">
        <v>583</v>
      </c>
    </row>
    <row r="116" spans="1:2" x14ac:dyDescent="0.25">
      <c r="A116" t="s">
        <v>637</v>
      </c>
      <c r="B116" t="s">
        <v>583</v>
      </c>
    </row>
    <row r="117" spans="1:2" x14ac:dyDescent="0.25">
      <c r="A117" t="s">
        <v>647</v>
      </c>
      <c r="B117" t="s">
        <v>583</v>
      </c>
    </row>
    <row r="118" spans="1:2" x14ac:dyDescent="0.25">
      <c r="A118" t="s">
        <v>691</v>
      </c>
      <c r="B118" t="s">
        <v>583</v>
      </c>
    </row>
    <row r="119" spans="1:2" x14ac:dyDescent="0.25">
      <c r="A119" t="s">
        <v>608</v>
      </c>
      <c r="B119" t="s">
        <v>609</v>
      </c>
    </row>
    <row r="120" spans="1:2" x14ac:dyDescent="0.25">
      <c r="A120" t="s">
        <v>614</v>
      </c>
      <c r="B120" t="s">
        <v>609</v>
      </c>
    </row>
    <row r="121" spans="1:2" x14ac:dyDescent="0.25">
      <c r="A121" t="s">
        <v>653</v>
      </c>
      <c r="B121" t="s">
        <v>609</v>
      </c>
    </row>
    <row r="122" spans="1:2" x14ac:dyDescent="0.25">
      <c r="A122" t="s">
        <v>693</v>
      </c>
      <c r="B122" t="s">
        <v>609</v>
      </c>
    </row>
  </sheetData>
  <autoFilter ref="A1:B122" xr:uid="{E9B368BC-EBEC-4024-BAFD-AAC840F38AB6}">
    <sortState xmlns:xlrd2="http://schemas.microsoft.com/office/spreadsheetml/2017/richdata2" ref="A2:B122">
      <sortCondition ref="B1:B122"/>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4AEE4-6D22-44DF-9752-E0C839BAA410}">
  <dimension ref="A1:E34"/>
  <sheetViews>
    <sheetView topLeftCell="A15" zoomScale="85" zoomScaleNormal="85" workbookViewId="0">
      <selection activeCell="H23" sqref="H23"/>
    </sheetView>
  </sheetViews>
  <sheetFormatPr defaultRowHeight="15" x14ac:dyDescent="0.25"/>
  <cols>
    <col min="2" max="2" width="23.140625" bestFit="1" customWidth="1"/>
    <col min="4" max="4" width="25.7109375" customWidth="1"/>
    <col min="5" max="5" width="82.85546875" style="1" customWidth="1"/>
  </cols>
  <sheetData>
    <row r="1" spans="1:5" x14ac:dyDescent="0.25">
      <c r="B1" s="78" t="s">
        <v>462</v>
      </c>
      <c r="C1" s="79" t="s">
        <v>463</v>
      </c>
      <c r="D1" s="79" t="s">
        <v>464</v>
      </c>
      <c r="E1" s="80" t="s">
        <v>465</v>
      </c>
    </row>
    <row r="2" spans="1:5" x14ac:dyDescent="0.25">
      <c r="A2">
        <v>0</v>
      </c>
      <c r="B2" s="81" t="s">
        <v>466</v>
      </c>
      <c r="C2" s="74" t="s">
        <v>467</v>
      </c>
      <c r="D2" s="74" t="s">
        <v>468</v>
      </c>
      <c r="E2" s="75" t="s">
        <v>469</v>
      </c>
    </row>
    <row r="3" spans="1:5" ht="30" x14ac:dyDescent="0.25">
      <c r="A3">
        <v>1</v>
      </c>
      <c r="B3" s="81"/>
      <c r="C3" s="74" t="s">
        <v>470</v>
      </c>
      <c r="D3" s="74" t="s">
        <v>471</v>
      </c>
      <c r="E3" s="75" t="s">
        <v>472</v>
      </c>
    </row>
    <row r="4" spans="1:5" x14ac:dyDescent="0.25">
      <c r="A4">
        <v>2</v>
      </c>
      <c r="B4" s="81"/>
      <c r="C4" s="74" t="s">
        <v>473</v>
      </c>
      <c r="D4" s="74" t="s">
        <v>474</v>
      </c>
      <c r="E4" s="75" t="s">
        <v>475</v>
      </c>
    </row>
    <row r="5" spans="1:5" x14ac:dyDescent="0.25">
      <c r="A5">
        <v>3</v>
      </c>
      <c r="B5" s="81" t="s">
        <v>494</v>
      </c>
      <c r="C5" s="74" t="s">
        <v>476</v>
      </c>
      <c r="D5" s="74" t="s">
        <v>477</v>
      </c>
      <c r="E5" s="75" t="s">
        <v>478</v>
      </c>
    </row>
    <row r="6" spans="1:5" x14ac:dyDescent="0.25">
      <c r="A6">
        <v>4</v>
      </c>
      <c r="B6" s="81"/>
      <c r="C6" s="74" t="s">
        <v>479</v>
      </c>
      <c r="D6" s="74" t="s">
        <v>480</v>
      </c>
      <c r="E6" s="75" t="s">
        <v>481</v>
      </c>
    </row>
    <row r="7" spans="1:5" x14ac:dyDescent="0.25">
      <c r="A7">
        <v>5</v>
      </c>
      <c r="B7" s="81"/>
      <c r="C7" s="74" t="s">
        <v>482</v>
      </c>
      <c r="D7" s="74" t="s">
        <v>483</v>
      </c>
      <c r="E7" s="75" t="s">
        <v>484</v>
      </c>
    </row>
    <row r="8" spans="1:5" ht="30" x14ac:dyDescent="0.25">
      <c r="A8">
        <v>6</v>
      </c>
      <c r="B8" s="81"/>
      <c r="C8" s="74" t="s">
        <v>485</v>
      </c>
      <c r="D8" s="74" t="s">
        <v>486</v>
      </c>
      <c r="E8" s="75" t="s">
        <v>487</v>
      </c>
    </row>
    <row r="9" spans="1:5" ht="30" x14ac:dyDescent="0.25">
      <c r="A9">
        <v>7</v>
      </c>
      <c r="B9" s="81"/>
      <c r="C9" s="74" t="s">
        <v>488</v>
      </c>
      <c r="D9" s="74" t="s">
        <v>489</v>
      </c>
      <c r="E9" s="75" t="s">
        <v>490</v>
      </c>
    </row>
    <row r="10" spans="1:5" ht="30" x14ac:dyDescent="0.25">
      <c r="A10">
        <v>8</v>
      </c>
      <c r="B10" s="81"/>
      <c r="C10" s="74" t="s">
        <v>491</v>
      </c>
      <c r="D10" s="74" t="s">
        <v>492</v>
      </c>
      <c r="E10" s="75" t="s">
        <v>493</v>
      </c>
    </row>
    <row r="11" spans="1:5" ht="45" x14ac:dyDescent="0.25">
      <c r="A11">
        <v>9</v>
      </c>
      <c r="B11" s="81"/>
      <c r="C11" s="74" t="s">
        <v>495</v>
      </c>
      <c r="D11" s="74" t="s">
        <v>496</v>
      </c>
      <c r="E11" s="75" t="s">
        <v>497</v>
      </c>
    </row>
    <row r="12" spans="1:5" ht="30" x14ac:dyDescent="0.25">
      <c r="A12">
        <v>10</v>
      </c>
      <c r="B12" s="81"/>
      <c r="C12" s="74" t="s">
        <v>498</v>
      </c>
      <c r="D12" s="74" t="s">
        <v>195</v>
      </c>
      <c r="E12" s="75" t="s">
        <v>499</v>
      </c>
    </row>
    <row r="13" spans="1:5" ht="30" x14ac:dyDescent="0.25">
      <c r="A13">
        <v>11</v>
      </c>
      <c r="B13" s="81"/>
      <c r="C13" s="74" t="s">
        <v>500</v>
      </c>
      <c r="D13" s="74" t="s">
        <v>501</v>
      </c>
      <c r="E13" s="75" t="s">
        <v>160</v>
      </c>
    </row>
    <row r="14" spans="1:5" ht="30" x14ac:dyDescent="0.25">
      <c r="A14">
        <v>12</v>
      </c>
      <c r="B14" s="81"/>
      <c r="C14" s="74" t="s">
        <v>502</v>
      </c>
      <c r="D14" s="74" t="s">
        <v>503</v>
      </c>
      <c r="E14" s="75" t="s">
        <v>504</v>
      </c>
    </row>
    <row r="15" spans="1:5" ht="30" x14ac:dyDescent="0.25">
      <c r="A15">
        <v>13</v>
      </c>
      <c r="B15" s="81"/>
      <c r="C15" s="74" t="s">
        <v>505</v>
      </c>
      <c r="D15" s="74" t="s">
        <v>506</v>
      </c>
      <c r="E15" s="75" t="s">
        <v>507</v>
      </c>
    </row>
    <row r="16" spans="1:5" x14ac:dyDescent="0.25">
      <c r="A16">
        <v>14</v>
      </c>
      <c r="B16" s="81"/>
      <c r="C16" s="74" t="s">
        <v>508</v>
      </c>
      <c r="D16" s="74" t="s">
        <v>509</v>
      </c>
      <c r="E16" s="75" t="s">
        <v>510</v>
      </c>
    </row>
    <row r="17" spans="1:5" x14ac:dyDescent="0.25">
      <c r="A17">
        <v>15</v>
      </c>
      <c r="B17" s="81"/>
      <c r="C17" s="74" t="s">
        <v>511</v>
      </c>
      <c r="D17" s="74" t="s">
        <v>512</v>
      </c>
      <c r="E17" s="75" t="s">
        <v>513</v>
      </c>
    </row>
    <row r="18" spans="1:5" ht="30" x14ac:dyDescent="0.25">
      <c r="A18">
        <v>16</v>
      </c>
      <c r="B18" s="81" t="s">
        <v>514</v>
      </c>
      <c r="C18" s="74" t="s">
        <v>515</v>
      </c>
      <c r="D18" s="74" t="s">
        <v>514</v>
      </c>
      <c r="E18" s="75" t="s">
        <v>516</v>
      </c>
    </row>
    <row r="19" spans="1:5" x14ac:dyDescent="0.25">
      <c r="A19">
        <v>17</v>
      </c>
      <c r="B19" s="81"/>
      <c r="C19" s="74" t="s">
        <v>517</v>
      </c>
      <c r="D19" s="74" t="s">
        <v>518</v>
      </c>
      <c r="E19" s="75" t="s">
        <v>519</v>
      </c>
    </row>
    <row r="20" spans="1:5" x14ac:dyDescent="0.25">
      <c r="A20">
        <v>18</v>
      </c>
      <c r="B20" s="81"/>
      <c r="C20" s="74" t="s">
        <v>520</v>
      </c>
      <c r="D20" s="74" t="s">
        <v>521</v>
      </c>
      <c r="E20" s="75" t="s">
        <v>522</v>
      </c>
    </row>
    <row r="21" spans="1:5" x14ac:dyDescent="0.25">
      <c r="A21">
        <v>19</v>
      </c>
      <c r="B21" s="81"/>
      <c r="C21" s="74" t="s">
        <v>523</v>
      </c>
      <c r="D21" s="74" t="s">
        <v>524</v>
      </c>
      <c r="E21" s="75" t="s">
        <v>192</v>
      </c>
    </row>
    <row r="22" spans="1:5" ht="30" x14ac:dyDescent="0.25">
      <c r="A22">
        <v>20</v>
      </c>
      <c r="B22" s="81"/>
      <c r="C22" s="74" t="s">
        <v>525</v>
      </c>
      <c r="D22" s="74" t="s">
        <v>526</v>
      </c>
      <c r="E22" s="75" t="s">
        <v>527</v>
      </c>
    </row>
    <row r="23" spans="1:5" ht="30" x14ac:dyDescent="0.25">
      <c r="A23">
        <v>21</v>
      </c>
      <c r="B23" s="81"/>
      <c r="C23" s="74" t="s">
        <v>528</v>
      </c>
      <c r="D23" s="74" t="s">
        <v>529</v>
      </c>
      <c r="E23" s="75" t="s">
        <v>530</v>
      </c>
    </row>
    <row r="24" spans="1:5" ht="30" x14ac:dyDescent="0.25">
      <c r="A24">
        <v>22</v>
      </c>
      <c r="B24" s="81"/>
      <c r="C24" s="74" t="s">
        <v>531</v>
      </c>
      <c r="D24" s="74" t="s">
        <v>532</v>
      </c>
      <c r="E24" s="75" t="s">
        <v>533</v>
      </c>
    </row>
    <row r="25" spans="1:5" ht="30" x14ac:dyDescent="0.25">
      <c r="A25">
        <v>23</v>
      </c>
      <c r="B25" s="81"/>
      <c r="C25" s="74" t="s">
        <v>534</v>
      </c>
      <c r="D25" s="74" t="s">
        <v>535</v>
      </c>
      <c r="E25" s="75" t="s">
        <v>215</v>
      </c>
    </row>
    <row r="26" spans="1:5" x14ac:dyDescent="0.25">
      <c r="A26">
        <v>24</v>
      </c>
      <c r="B26" s="81"/>
      <c r="C26" s="74" t="s">
        <v>536</v>
      </c>
      <c r="D26" s="74" t="s">
        <v>537</v>
      </c>
      <c r="E26" s="75" t="s">
        <v>218</v>
      </c>
    </row>
    <row r="27" spans="1:5" x14ac:dyDescent="0.25">
      <c r="A27">
        <v>25</v>
      </c>
      <c r="B27" s="81"/>
      <c r="C27" s="74" t="s">
        <v>538</v>
      </c>
      <c r="D27" s="74" t="s">
        <v>539</v>
      </c>
      <c r="E27" s="75" t="s">
        <v>540</v>
      </c>
    </row>
    <row r="28" spans="1:5" ht="30" x14ac:dyDescent="0.25">
      <c r="A28">
        <v>26</v>
      </c>
      <c r="B28" s="81" t="s">
        <v>541</v>
      </c>
      <c r="C28" s="74" t="s">
        <v>542</v>
      </c>
      <c r="D28" s="74" t="s">
        <v>543</v>
      </c>
      <c r="E28" s="75" t="s">
        <v>544</v>
      </c>
    </row>
    <row r="29" spans="1:5" ht="45" x14ac:dyDescent="0.25">
      <c r="A29">
        <v>27</v>
      </c>
      <c r="B29" s="81"/>
      <c r="C29" s="74" t="s">
        <v>545</v>
      </c>
      <c r="D29" s="74" t="s">
        <v>546</v>
      </c>
      <c r="E29" s="75" t="s">
        <v>547</v>
      </c>
    </row>
    <row r="30" spans="1:5" x14ac:dyDescent="0.25">
      <c r="A30">
        <v>28</v>
      </c>
      <c r="B30" s="81"/>
      <c r="C30" s="74" t="s">
        <v>548</v>
      </c>
      <c r="D30" s="74" t="s">
        <v>549</v>
      </c>
      <c r="E30" s="75" t="s">
        <v>101</v>
      </c>
    </row>
    <row r="31" spans="1:5" ht="30" x14ac:dyDescent="0.25">
      <c r="A31">
        <v>29</v>
      </c>
      <c r="B31" s="81"/>
      <c r="C31" s="74" t="s">
        <v>550</v>
      </c>
      <c r="D31" s="74" t="s">
        <v>551</v>
      </c>
      <c r="E31" s="75" t="s">
        <v>552</v>
      </c>
    </row>
    <row r="32" spans="1:5" x14ac:dyDescent="0.25">
      <c r="A32">
        <v>30</v>
      </c>
      <c r="B32" s="81" t="s">
        <v>408</v>
      </c>
      <c r="C32" s="74" t="s">
        <v>553</v>
      </c>
      <c r="D32" s="74" t="s">
        <v>554</v>
      </c>
      <c r="E32" s="75" t="s">
        <v>555</v>
      </c>
    </row>
    <row r="33" spans="1:5" ht="30" x14ac:dyDescent="0.25">
      <c r="A33">
        <v>31</v>
      </c>
      <c r="B33" s="81"/>
      <c r="C33" s="74" t="s">
        <v>556</v>
      </c>
      <c r="D33" s="74" t="s">
        <v>557</v>
      </c>
      <c r="E33" s="75" t="s">
        <v>558</v>
      </c>
    </row>
    <row r="34" spans="1:5" ht="30.75" thickBot="1" x14ac:dyDescent="0.3">
      <c r="A34">
        <v>32</v>
      </c>
      <c r="B34" s="82"/>
      <c r="C34" s="76" t="s">
        <v>559</v>
      </c>
      <c r="D34" s="76" t="s">
        <v>560</v>
      </c>
      <c r="E34" s="77" t="s">
        <v>561</v>
      </c>
    </row>
  </sheetData>
  <mergeCells count="5">
    <mergeCell ref="B18:B27"/>
    <mergeCell ref="B28:B31"/>
    <mergeCell ref="B32:B34"/>
    <mergeCell ref="B2:B4"/>
    <mergeCell ref="B5:B1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DB20-6913-4E5C-A3A3-86468B34E765}">
  <dimension ref="A2:J15"/>
  <sheetViews>
    <sheetView topLeftCell="A3" zoomScale="95" zoomScaleNormal="95" workbookViewId="0">
      <selection activeCell="E10" sqref="E10"/>
    </sheetView>
  </sheetViews>
  <sheetFormatPr defaultRowHeight="15" x14ac:dyDescent="0.25"/>
  <cols>
    <col min="1" max="1" width="25.7109375" style="3" customWidth="1"/>
    <col min="2" max="9" width="39.42578125" style="1" customWidth="1"/>
  </cols>
  <sheetData>
    <row r="2" spans="1:10" s="2" customFormat="1" ht="18.75" x14ac:dyDescent="0.3">
      <c r="A2" s="4"/>
      <c r="B2" s="5" t="s">
        <v>0</v>
      </c>
      <c r="C2" s="5" t="s">
        <v>1</v>
      </c>
      <c r="D2" s="5" t="s">
        <v>2</v>
      </c>
      <c r="E2" s="5" t="s">
        <v>3</v>
      </c>
      <c r="F2" s="5" t="s">
        <v>4</v>
      </c>
      <c r="G2" s="5" t="s">
        <v>5</v>
      </c>
      <c r="H2" s="5" t="s">
        <v>6</v>
      </c>
      <c r="I2" s="5" t="s">
        <v>7</v>
      </c>
    </row>
    <row r="3" spans="1:10" ht="45" x14ac:dyDescent="0.25">
      <c r="A3" s="13" t="s">
        <v>8</v>
      </c>
      <c r="B3" s="7" t="s">
        <v>9</v>
      </c>
      <c r="C3" s="7" t="s">
        <v>9</v>
      </c>
      <c r="D3" s="7" t="s">
        <v>9</v>
      </c>
      <c r="E3" s="7" t="s">
        <v>10</v>
      </c>
      <c r="F3" s="7" t="s">
        <v>11</v>
      </c>
      <c r="G3" s="7" t="s">
        <v>12</v>
      </c>
      <c r="H3" s="7" t="s">
        <v>11</v>
      </c>
      <c r="I3" s="7" t="s">
        <v>13</v>
      </c>
    </row>
    <row r="4" spans="1:10" ht="92.45" customHeight="1" x14ac:dyDescent="0.25">
      <c r="A4" s="16" t="s">
        <v>14</v>
      </c>
      <c r="B4" s="7" t="s">
        <v>15</v>
      </c>
      <c r="C4" s="7" t="s">
        <v>16</v>
      </c>
      <c r="D4" s="7" t="s">
        <v>17</v>
      </c>
      <c r="E4" s="7" t="s">
        <v>18</v>
      </c>
      <c r="F4" s="7" t="s">
        <v>19</v>
      </c>
      <c r="G4" s="8" t="s">
        <v>20</v>
      </c>
      <c r="H4" s="7" t="s">
        <v>11</v>
      </c>
      <c r="I4" s="7" t="s">
        <v>21</v>
      </c>
      <c r="J4" s="15" t="s">
        <v>22</v>
      </c>
    </row>
    <row r="5" spans="1:10" ht="30" x14ac:dyDescent="0.25">
      <c r="A5" s="14" t="s">
        <v>23</v>
      </c>
      <c r="B5" s="7" t="s">
        <v>24</v>
      </c>
      <c r="C5" s="7" t="s">
        <v>25</v>
      </c>
      <c r="D5" s="7" t="s">
        <v>26</v>
      </c>
      <c r="E5" s="7" t="s">
        <v>27</v>
      </c>
      <c r="F5" s="7" t="s">
        <v>28</v>
      </c>
      <c r="G5" s="7" t="s">
        <v>29</v>
      </c>
      <c r="H5" s="7" t="s">
        <v>11</v>
      </c>
      <c r="I5" s="7" t="s">
        <v>30</v>
      </c>
    </row>
    <row r="6" spans="1:10" ht="135" x14ac:dyDescent="0.25">
      <c r="A6" s="6" t="s">
        <v>31</v>
      </c>
      <c r="B6" s="7" t="s">
        <v>32</v>
      </c>
      <c r="C6" s="7" t="s">
        <v>33</v>
      </c>
      <c r="D6" s="7" t="s">
        <v>34</v>
      </c>
      <c r="E6" s="7" t="s">
        <v>35</v>
      </c>
      <c r="F6" s="7" t="s">
        <v>36</v>
      </c>
      <c r="G6" s="7"/>
      <c r="H6" s="7" t="s">
        <v>37</v>
      </c>
      <c r="I6" s="7" t="s">
        <v>38</v>
      </c>
      <c r="J6" s="17" t="s">
        <v>39</v>
      </c>
    </row>
    <row r="7" spans="1:10" x14ac:dyDescent="0.25">
      <c r="A7" s="6" t="s">
        <v>40</v>
      </c>
      <c r="B7" s="7" t="s">
        <v>13</v>
      </c>
      <c r="C7" s="7" t="s">
        <v>41</v>
      </c>
      <c r="D7" s="7" t="s">
        <v>41</v>
      </c>
      <c r="E7" s="7" t="s">
        <v>42</v>
      </c>
      <c r="F7" s="7" t="s">
        <v>13</v>
      </c>
      <c r="G7" s="7" t="s">
        <v>42</v>
      </c>
      <c r="H7" s="7" t="s">
        <v>11</v>
      </c>
      <c r="I7" s="7" t="s">
        <v>43</v>
      </c>
    </row>
    <row r="8" spans="1:10" ht="30" x14ac:dyDescent="0.25">
      <c r="A8" s="6" t="s">
        <v>44</v>
      </c>
      <c r="B8" s="7" t="s">
        <v>11</v>
      </c>
      <c r="C8" s="7" t="s">
        <v>13</v>
      </c>
      <c r="D8" s="7" t="s">
        <v>45</v>
      </c>
      <c r="E8" s="7" t="s">
        <v>46</v>
      </c>
      <c r="F8" s="7" t="s">
        <v>13</v>
      </c>
      <c r="G8" s="7" t="s">
        <v>47</v>
      </c>
      <c r="H8" s="7" t="s">
        <v>11</v>
      </c>
      <c r="I8" s="7" t="s">
        <v>47</v>
      </c>
      <c r="J8" s="15" t="s">
        <v>48</v>
      </c>
    </row>
    <row r="9" spans="1:10" ht="45" x14ac:dyDescent="0.25">
      <c r="A9" s="6" t="s">
        <v>49</v>
      </c>
      <c r="B9" s="7" t="s">
        <v>50</v>
      </c>
      <c r="C9" s="7" t="s">
        <v>51</v>
      </c>
      <c r="D9" s="7" t="s">
        <v>52</v>
      </c>
      <c r="E9" s="7" t="s">
        <v>53</v>
      </c>
      <c r="F9" s="7" t="s">
        <v>54</v>
      </c>
      <c r="G9" s="7"/>
      <c r="H9" s="7" t="s">
        <v>11</v>
      </c>
      <c r="I9" s="7" t="s">
        <v>55</v>
      </c>
    </row>
    <row r="10" spans="1:10" ht="105" x14ac:dyDescent="0.25">
      <c r="A10" s="6" t="s">
        <v>56</v>
      </c>
      <c r="B10" s="7" t="s">
        <v>57</v>
      </c>
      <c r="C10" s="7" t="s">
        <v>58</v>
      </c>
      <c r="D10" s="7" t="s">
        <v>59</v>
      </c>
      <c r="E10" s="7" t="s">
        <v>60</v>
      </c>
      <c r="F10" s="7" t="s">
        <v>61</v>
      </c>
      <c r="G10" s="7" t="s">
        <v>62</v>
      </c>
      <c r="H10" s="7" t="s">
        <v>11</v>
      </c>
      <c r="I10" s="7" t="s">
        <v>63</v>
      </c>
      <c r="J10" s="15" t="s">
        <v>64</v>
      </c>
    </row>
    <row r="11" spans="1:10" x14ac:dyDescent="0.25">
      <c r="A11" s="6" t="s">
        <v>65</v>
      </c>
      <c r="B11" s="10"/>
      <c r="C11" s="10"/>
      <c r="D11" s="10"/>
      <c r="E11" s="10"/>
      <c r="F11" s="11"/>
      <c r="G11" s="11"/>
      <c r="H11" s="12"/>
      <c r="I11" s="12"/>
    </row>
    <row r="12" spans="1:10" ht="265.89999999999998" customHeight="1" x14ac:dyDescent="0.25">
      <c r="A12" s="6" t="s">
        <v>66</v>
      </c>
      <c r="B12" s="9" t="s">
        <v>67</v>
      </c>
      <c r="C12" s="9" t="s">
        <v>68</v>
      </c>
      <c r="D12" s="9" t="s">
        <v>69</v>
      </c>
      <c r="E12" s="9" t="s">
        <v>70</v>
      </c>
      <c r="F12" s="9" t="s">
        <v>71</v>
      </c>
      <c r="G12" s="9"/>
      <c r="H12" s="7" t="s">
        <v>72</v>
      </c>
      <c r="I12" s="9"/>
    </row>
    <row r="13" spans="1:10" ht="30" x14ac:dyDescent="0.25">
      <c r="A13" s="3" t="s">
        <v>73</v>
      </c>
      <c r="B13" s="1" t="s">
        <v>74</v>
      </c>
    </row>
    <row r="14" spans="1:10" ht="30" x14ac:dyDescent="0.25">
      <c r="B14" s="1" t="s">
        <v>75</v>
      </c>
    </row>
    <row r="15" spans="1:10" x14ac:dyDescent="0.25">
      <c r="A15" s="3" t="s">
        <v>76</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4F800-E741-4A79-AEB3-0988D5C890DD}">
  <dimension ref="A1:V42"/>
  <sheetViews>
    <sheetView zoomScale="85" zoomScaleNormal="85" workbookViewId="0">
      <pane xSplit="4" ySplit="3" topLeftCell="J15" activePane="bottomRight" state="frozen"/>
      <selection pane="topRight" activeCell="E1" sqref="E1"/>
      <selection pane="bottomLeft" activeCell="A4" sqref="A4"/>
      <selection pane="bottomRight" activeCell="J19" sqref="J19"/>
    </sheetView>
  </sheetViews>
  <sheetFormatPr defaultColWidth="9.140625" defaultRowHeight="15.75" x14ac:dyDescent="0.25"/>
  <cols>
    <col min="1" max="1" width="18" style="51" customWidth="1"/>
    <col min="2" max="2" width="9.28515625" style="35" customWidth="1"/>
    <col min="3" max="3" width="34.42578125" style="23" customWidth="1"/>
    <col min="4" max="4" width="15.5703125" style="23" customWidth="1"/>
    <col min="5" max="5" width="21.5703125" style="23" customWidth="1"/>
    <col min="6" max="6" width="56.140625" style="25" customWidth="1"/>
    <col min="7" max="7" width="21.5703125" style="25" customWidth="1"/>
    <col min="8" max="8" width="36.28515625" style="25" customWidth="1"/>
    <col min="9" max="9" width="32" style="25" customWidth="1"/>
    <col min="10" max="10" width="43.85546875" style="25" customWidth="1"/>
    <col min="11" max="22" width="54" style="25" customWidth="1"/>
    <col min="23" max="16384" width="9.140625" style="36"/>
  </cols>
  <sheetData>
    <row r="1" spans="1:22" x14ac:dyDescent="0.25">
      <c r="A1" s="35" t="s">
        <v>77</v>
      </c>
      <c r="F1" s="18" t="s">
        <v>78</v>
      </c>
      <c r="G1" s="18"/>
      <c r="H1" s="18"/>
      <c r="I1" s="18"/>
      <c r="J1" s="18">
        <f>COUNTA(J3:BN3)</f>
        <v>13</v>
      </c>
      <c r="K1" s="18"/>
      <c r="L1" s="18"/>
      <c r="M1" s="18"/>
      <c r="N1" s="18"/>
      <c r="O1" s="18"/>
      <c r="P1" s="18"/>
      <c r="Q1" s="18"/>
      <c r="R1" s="18"/>
      <c r="S1" s="18"/>
      <c r="T1" s="18"/>
      <c r="U1" s="18"/>
      <c r="V1" s="18"/>
    </row>
    <row r="2" spans="1:22" x14ac:dyDescent="0.25">
      <c r="A2" s="57"/>
      <c r="B2" s="58"/>
      <c r="C2" s="59"/>
      <c r="D2" s="59"/>
      <c r="E2" s="59"/>
      <c r="F2" s="60"/>
      <c r="G2" s="60"/>
      <c r="H2" s="60"/>
      <c r="I2" s="60"/>
      <c r="J2" s="27" t="s">
        <v>240</v>
      </c>
      <c r="K2" s="61"/>
      <c r="L2" s="61"/>
      <c r="M2" s="61"/>
      <c r="N2" s="61"/>
      <c r="O2" s="61"/>
      <c r="P2" s="61"/>
      <c r="Q2" s="61"/>
      <c r="R2" s="61"/>
      <c r="S2" s="61"/>
      <c r="T2" s="61"/>
      <c r="U2" s="61"/>
      <c r="V2" s="61"/>
    </row>
    <row r="3" spans="1:22" s="37" customFormat="1" ht="78.75" x14ac:dyDescent="0.25">
      <c r="A3" s="20" t="s">
        <v>79</v>
      </c>
      <c r="B3" s="19" t="s">
        <v>61</v>
      </c>
      <c r="C3" s="20" t="s">
        <v>80</v>
      </c>
      <c r="D3" s="20" t="s">
        <v>178</v>
      </c>
      <c r="E3" s="20" t="s">
        <v>103</v>
      </c>
      <c r="F3" s="20" t="s">
        <v>81</v>
      </c>
      <c r="G3" s="20" t="s">
        <v>82</v>
      </c>
      <c r="H3" s="20" t="s">
        <v>83</v>
      </c>
      <c r="I3" s="20" t="s">
        <v>84</v>
      </c>
      <c r="J3" s="62" t="s">
        <v>114</v>
      </c>
      <c r="K3" s="62" t="s">
        <v>115</v>
      </c>
      <c r="L3" s="62" t="s">
        <v>241</v>
      </c>
      <c r="M3" s="62" t="s">
        <v>285</v>
      </c>
      <c r="N3" s="62" t="s">
        <v>298</v>
      </c>
      <c r="O3" s="62" t="s">
        <v>318</v>
      </c>
      <c r="P3" s="62" t="s">
        <v>328</v>
      </c>
      <c r="Q3" s="62" t="s">
        <v>343</v>
      </c>
      <c r="R3" s="62" t="s">
        <v>356</v>
      </c>
      <c r="S3" s="62" t="s">
        <v>369</v>
      </c>
      <c r="T3" s="62" t="s">
        <v>382</v>
      </c>
      <c r="U3" s="62" t="s">
        <v>386</v>
      </c>
      <c r="V3" s="62" t="s">
        <v>399</v>
      </c>
    </row>
    <row r="4" spans="1:22" s="37" customFormat="1" x14ac:dyDescent="0.25">
      <c r="A4" s="20"/>
      <c r="B4" s="19"/>
      <c r="C4" s="20"/>
      <c r="D4" s="20"/>
      <c r="E4" s="20"/>
      <c r="F4" s="20"/>
      <c r="G4" s="20"/>
      <c r="H4" s="20"/>
      <c r="I4" s="20"/>
      <c r="J4" s="62" t="s">
        <v>335</v>
      </c>
      <c r="K4" s="62" t="s">
        <v>334</v>
      </c>
      <c r="L4" s="62" t="s">
        <v>333</v>
      </c>
      <c r="M4" s="62" t="s">
        <v>332</v>
      </c>
      <c r="N4" s="62" t="s">
        <v>331</v>
      </c>
      <c r="O4" s="62" t="s">
        <v>331</v>
      </c>
      <c r="P4" s="62" t="s">
        <v>330</v>
      </c>
      <c r="Q4" s="62" t="s">
        <v>344</v>
      </c>
      <c r="R4" s="62" t="s">
        <v>332</v>
      </c>
      <c r="S4" s="62" t="s">
        <v>370</v>
      </c>
      <c r="T4" s="62" t="s">
        <v>377</v>
      </c>
      <c r="U4" s="62" t="s">
        <v>383</v>
      </c>
      <c r="V4" s="62" t="s">
        <v>400</v>
      </c>
    </row>
    <row r="5" spans="1:22" s="39" customFormat="1" x14ac:dyDescent="0.25">
      <c r="A5" s="83" t="s">
        <v>139</v>
      </c>
      <c r="B5" s="38">
        <v>1</v>
      </c>
      <c r="C5" s="21" t="s">
        <v>111</v>
      </c>
      <c r="D5" s="21" t="s">
        <v>179</v>
      </c>
      <c r="E5" s="21" t="s">
        <v>270</v>
      </c>
      <c r="F5" s="21" t="s">
        <v>154</v>
      </c>
      <c r="G5" s="21" t="s">
        <v>133</v>
      </c>
      <c r="H5" s="21" t="s">
        <v>133</v>
      </c>
      <c r="I5" s="21" t="s">
        <v>133</v>
      </c>
      <c r="J5" s="21" t="s">
        <v>116</v>
      </c>
      <c r="K5" s="21" t="s">
        <v>119</v>
      </c>
      <c r="L5" s="21" t="s">
        <v>242</v>
      </c>
      <c r="M5" s="21" t="s">
        <v>286</v>
      </c>
      <c r="N5" s="21" t="s">
        <v>313</v>
      </c>
      <c r="O5" s="21" t="s">
        <v>314</v>
      </c>
      <c r="P5" s="21" t="s">
        <v>336</v>
      </c>
      <c r="Q5" s="21" t="s">
        <v>345</v>
      </c>
      <c r="R5" s="21" t="s">
        <v>286</v>
      </c>
      <c r="S5" s="21" t="s">
        <v>371</v>
      </c>
      <c r="T5" s="21" t="s">
        <v>378</v>
      </c>
      <c r="U5" s="21" t="s">
        <v>385</v>
      </c>
      <c r="V5" s="21" t="s">
        <v>401</v>
      </c>
    </row>
    <row r="6" spans="1:22" s="39" customFormat="1" ht="31.5" x14ac:dyDescent="0.25">
      <c r="A6" s="83"/>
      <c r="B6" s="38">
        <f>B5+1</f>
        <v>2</v>
      </c>
      <c r="C6" s="21" t="s">
        <v>112</v>
      </c>
      <c r="D6" s="21" t="s">
        <v>179</v>
      </c>
      <c r="E6" s="21" t="s">
        <v>270</v>
      </c>
      <c r="F6" s="21" t="s">
        <v>113</v>
      </c>
      <c r="G6" s="21" t="s">
        <v>133</v>
      </c>
      <c r="H6" s="21" t="s">
        <v>133</v>
      </c>
      <c r="I6" s="21" t="s">
        <v>133</v>
      </c>
      <c r="J6" s="21" t="s">
        <v>118</v>
      </c>
      <c r="K6" s="21" t="s">
        <v>140</v>
      </c>
      <c r="L6" s="21" t="s">
        <v>140</v>
      </c>
      <c r="M6" s="21" t="s">
        <v>140</v>
      </c>
      <c r="N6" s="21" t="s">
        <v>140</v>
      </c>
      <c r="O6" s="21" t="s">
        <v>140</v>
      </c>
      <c r="P6" s="21" t="s">
        <v>329</v>
      </c>
      <c r="Q6" s="21" t="s">
        <v>140</v>
      </c>
      <c r="R6" s="21" t="s">
        <v>140</v>
      </c>
      <c r="S6" s="21" t="s">
        <v>140</v>
      </c>
      <c r="T6" s="21" t="s">
        <v>140</v>
      </c>
      <c r="U6" s="21" t="s">
        <v>384</v>
      </c>
      <c r="V6" s="21" t="s">
        <v>402</v>
      </c>
    </row>
    <row r="7" spans="1:22" s="39" customFormat="1" ht="132.6" hidden="1" customHeight="1" x14ac:dyDescent="0.25">
      <c r="A7" s="83"/>
      <c r="B7" s="38">
        <v>3</v>
      </c>
      <c r="C7" s="21" t="s">
        <v>141</v>
      </c>
      <c r="D7" s="21" t="s">
        <v>179</v>
      </c>
      <c r="E7" s="21" t="s">
        <v>270</v>
      </c>
      <c r="F7" s="21" t="s">
        <v>203</v>
      </c>
      <c r="G7" s="21" t="s">
        <v>133</v>
      </c>
      <c r="H7" s="21" t="s">
        <v>133</v>
      </c>
      <c r="I7" s="21" t="s">
        <v>133</v>
      </c>
      <c r="J7" s="21" t="s">
        <v>234</v>
      </c>
      <c r="K7" s="21" t="s">
        <v>233</v>
      </c>
      <c r="L7" s="21" t="s">
        <v>233</v>
      </c>
      <c r="M7" s="21" t="s">
        <v>233</v>
      </c>
      <c r="N7" s="21"/>
      <c r="O7" s="21"/>
      <c r="P7" s="21"/>
      <c r="Q7" s="21"/>
      <c r="R7" s="21"/>
      <c r="S7" s="21"/>
      <c r="T7" s="21"/>
      <c r="U7" s="21" t="s">
        <v>388</v>
      </c>
      <c r="V7" s="21"/>
    </row>
    <row r="8" spans="1:22" s="39" customFormat="1" ht="132.6" hidden="1" customHeight="1" x14ac:dyDescent="0.25">
      <c r="A8" s="83"/>
      <c r="B8" s="38">
        <v>3</v>
      </c>
      <c r="C8" s="21" t="s">
        <v>201</v>
      </c>
      <c r="D8" s="21" t="s">
        <v>180</v>
      </c>
      <c r="E8" s="21" t="s">
        <v>271</v>
      </c>
      <c r="F8" s="21" t="s">
        <v>202</v>
      </c>
      <c r="G8" s="21" t="s">
        <v>133</v>
      </c>
      <c r="H8" s="21" t="s">
        <v>133</v>
      </c>
      <c r="I8" s="21" t="s">
        <v>133</v>
      </c>
      <c r="J8" s="21" t="s">
        <v>126</v>
      </c>
      <c r="K8" s="21" t="s">
        <v>204</v>
      </c>
      <c r="L8" s="21" t="s">
        <v>245</v>
      </c>
      <c r="M8" s="21" t="s">
        <v>287</v>
      </c>
      <c r="N8" s="21"/>
      <c r="O8" s="21" t="s">
        <v>315</v>
      </c>
      <c r="P8" s="21"/>
      <c r="Q8" s="21"/>
      <c r="R8" s="21"/>
      <c r="S8" s="21"/>
      <c r="T8" s="21"/>
      <c r="U8" s="21" t="s">
        <v>389</v>
      </c>
      <c r="V8" s="21"/>
    </row>
    <row r="9" spans="1:22" s="39" customFormat="1" ht="157.5" hidden="1" x14ac:dyDescent="0.25">
      <c r="A9" s="83"/>
      <c r="B9" s="38">
        <v>4</v>
      </c>
      <c r="C9" s="21" t="s">
        <v>142</v>
      </c>
      <c r="D9" s="21" t="s">
        <v>180</v>
      </c>
      <c r="E9" s="21" t="s">
        <v>272</v>
      </c>
      <c r="F9" s="21" t="s">
        <v>143</v>
      </c>
      <c r="G9" s="21" t="s">
        <v>133</v>
      </c>
      <c r="H9" s="21" t="s">
        <v>133</v>
      </c>
      <c r="I9" s="21" t="s">
        <v>133</v>
      </c>
      <c r="J9" s="21" t="s">
        <v>127</v>
      </c>
      <c r="K9" s="21" t="s">
        <v>144</v>
      </c>
      <c r="L9" s="21" t="s">
        <v>265</v>
      </c>
      <c r="M9" s="21" t="s">
        <v>304</v>
      </c>
      <c r="N9" s="21" t="s">
        <v>304</v>
      </c>
      <c r="O9" s="21" t="s">
        <v>317</v>
      </c>
      <c r="P9" s="21"/>
      <c r="Q9" s="21"/>
      <c r="R9" s="21" t="s">
        <v>363</v>
      </c>
      <c r="S9" s="21" t="s">
        <v>372</v>
      </c>
      <c r="T9" s="21" t="s">
        <v>380</v>
      </c>
      <c r="U9" s="21" t="s">
        <v>390</v>
      </c>
      <c r="V9" s="21"/>
    </row>
    <row r="10" spans="1:22" s="39" customFormat="1" ht="31.5" hidden="1" x14ac:dyDescent="0.25">
      <c r="A10" s="40"/>
      <c r="B10" s="38">
        <v>5</v>
      </c>
      <c r="C10" s="21" t="s">
        <v>150</v>
      </c>
      <c r="D10" s="21" t="s">
        <v>179</v>
      </c>
      <c r="E10" s="21" t="s">
        <v>271</v>
      </c>
      <c r="F10" s="21" t="s">
        <v>151</v>
      </c>
      <c r="G10" s="21" t="s">
        <v>133</v>
      </c>
      <c r="H10" s="21" t="s">
        <v>133</v>
      </c>
      <c r="I10" s="21" t="s">
        <v>133</v>
      </c>
      <c r="J10" s="21">
        <v>2</v>
      </c>
      <c r="K10" s="21">
        <v>4</v>
      </c>
      <c r="L10" s="21">
        <v>4</v>
      </c>
      <c r="M10" s="21"/>
      <c r="N10" s="21"/>
      <c r="O10" s="21"/>
      <c r="P10" s="21" t="s">
        <v>340</v>
      </c>
      <c r="Q10" s="21" t="s">
        <v>357</v>
      </c>
      <c r="R10" s="21"/>
      <c r="S10" s="21"/>
      <c r="T10" s="21"/>
      <c r="U10" s="21">
        <v>4</v>
      </c>
      <c r="V10" s="21"/>
    </row>
    <row r="11" spans="1:22" s="39" customFormat="1" ht="63" hidden="1" x14ac:dyDescent="0.25">
      <c r="A11" s="41"/>
      <c r="B11" s="42">
        <f>B10+1</f>
        <v>6</v>
      </c>
      <c r="C11" s="22" t="s">
        <v>149</v>
      </c>
      <c r="D11" s="22" t="s">
        <v>179</v>
      </c>
      <c r="E11" s="22" t="s">
        <v>272</v>
      </c>
      <c r="F11" s="22" t="s">
        <v>152</v>
      </c>
      <c r="G11" s="22" t="s">
        <v>133</v>
      </c>
      <c r="H11" s="22" t="s">
        <v>153</v>
      </c>
      <c r="I11" s="22"/>
      <c r="J11" s="22" t="s">
        <v>130</v>
      </c>
      <c r="K11" s="22" t="s">
        <v>134</v>
      </c>
      <c r="L11" s="22" t="s">
        <v>246</v>
      </c>
      <c r="M11" s="22" t="s">
        <v>299</v>
      </c>
      <c r="N11" s="22" t="s">
        <v>300</v>
      </c>
      <c r="O11" s="22" t="s">
        <v>299</v>
      </c>
      <c r="P11" s="22" t="s">
        <v>337</v>
      </c>
      <c r="Q11" s="22" t="s">
        <v>346</v>
      </c>
      <c r="R11" s="22"/>
      <c r="S11" s="22"/>
      <c r="T11" s="22" t="s">
        <v>379</v>
      </c>
      <c r="U11" s="22" t="s">
        <v>387</v>
      </c>
      <c r="V11" s="22"/>
    </row>
    <row r="12" spans="1:22" ht="78.75" x14ac:dyDescent="0.25">
      <c r="A12" s="45" t="s">
        <v>184</v>
      </c>
      <c r="B12" s="46">
        <f>B11+1</f>
        <v>7</v>
      </c>
      <c r="C12" s="47" t="s">
        <v>181</v>
      </c>
      <c r="D12" s="47" t="s">
        <v>180</v>
      </c>
      <c r="E12" s="47" t="s">
        <v>273</v>
      </c>
      <c r="F12" s="29" t="s">
        <v>186</v>
      </c>
      <c r="G12" s="29" t="s">
        <v>85</v>
      </c>
      <c r="H12" s="29"/>
      <c r="I12" s="29"/>
      <c r="J12" s="29" t="s">
        <v>183</v>
      </c>
      <c r="K12" s="29" t="s">
        <v>183</v>
      </c>
      <c r="L12" s="29" t="s">
        <v>183</v>
      </c>
      <c r="M12" s="29" t="s">
        <v>183</v>
      </c>
      <c r="N12" s="29" t="s">
        <v>183</v>
      </c>
      <c r="O12" s="29" t="s">
        <v>183</v>
      </c>
      <c r="P12" s="29" t="s">
        <v>183</v>
      </c>
      <c r="Q12" s="29" t="s">
        <v>183</v>
      </c>
      <c r="R12" s="29" t="s">
        <v>183</v>
      </c>
      <c r="S12" s="29" t="s">
        <v>183</v>
      </c>
      <c r="T12" s="29" t="s">
        <v>183</v>
      </c>
      <c r="U12" s="29" t="s">
        <v>183</v>
      </c>
      <c r="V12" s="29" t="s">
        <v>183</v>
      </c>
    </row>
    <row r="13" spans="1:22" ht="141.75" x14ac:dyDescent="0.25">
      <c r="A13" s="41"/>
      <c r="B13" s="42">
        <f>B12+1</f>
        <v>8</v>
      </c>
      <c r="C13" s="22" t="s">
        <v>182</v>
      </c>
      <c r="D13" s="22" t="s">
        <v>180</v>
      </c>
      <c r="E13" s="22" t="s">
        <v>273</v>
      </c>
      <c r="F13" s="32" t="s">
        <v>185</v>
      </c>
      <c r="G13" s="32" t="s">
        <v>85</v>
      </c>
      <c r="H13" s="32"/>
      <c r="I13" s="32"/>
      <c r="J13" s="32" t="s">
        <v>183</v>
      </c>
      <c r="K13" s="32" t="s">
        <v>183</v>
      </c>
      <c r="L13" s="32" t="s">
        <v>183</v>
      </c>
      <c r="M13" s="32" t="s">
        <v>183</v>
      </c>
      <c r="N13" s="32" t="s">
        <v>183</v>
      </c>
      <c r="O13" s="32" t="s">
        <v>183</v>
      </c>
      <c r="P13" s="32" t="s">
        <v>183</v>
      </c>
      <c r="Q13" s="32" t="s">
        <v>183</v>
      </c>
      <c r="R13" s="32" t="s">
        <v>183</v>
      </c>
      <c r="S13" s="32" t="s">
        <v>183</v>
      </c>
      <c r="T13" s="32" t="s">
        <v>183</v>
      </c>
      <c r="U13" s="32" t="s">
        <v>183</v>
      </c>
      <c r="V13" s="32" t="s">
        <v>183</v>
      </c>
    </row>
    <row r="14" spans="1:22" ht="94.5" x14ac:dyDescent="0.25">
      <c r="A14" s="45" t="s">
        <v>89</v>
      </c>
      <c r="B14" s="46">
        <f t="shared" ref="B14:B41" si="0">B13+1</f>
        <v>9</v>
      </c>
      <c r="C14" s="70" t="s">
        <v>104</v>
      </c>
      <c r="D14" s="47" t="s">
        <v>180</v>
      </c>
      <c r="E14" s="47" t="s">
        <v>272</v>
      </c>
      <c r="F14" s="47" t="s">
        <v>193</v>
      </c>
      <c r="G14" s="47" t="s">
        <v>85</v>
      </c>
      <c r="H14" s="47" t="s">
        <v>158</v>
      </c>
      <c r="I14" s="47" t="s">
        <v>173</v>
      </c>
      <c r="J14" s="47" t="s">
        <v>120</v>
      </c>
      <c r="K14" s="47" t="s">
        <v>137</v>
      </c>
      <c r="L14" s="47" t="s">
        <v>251</v>
      </c>
      <c r="M14" s="47" t="s">
        <v>290</v>
      </c>
      <c r="N14" s="47" t="s">
        <v>302</v>
      </c>
      <c r="O14" s="47" t="s">
        <v>320</v>
      </c>
      <c r="P14" s="47" t="s">
        <v>339</v>
      </c>
      <c r="Q14" s="47" t="s">
        <v>351</v>
      </c>
      <c r="R14" s="47" t="s">
        <v>358</v>
      </c>
      <c r="S14" s="47" t="s">
        <v>374</v>
      </c>
      <c r="T14" s="47"/>
      <c r="U14" s="47" t="s">
        <v>392</v>
      </c>
      <c r="V14" s="47" t="s">
        <v>410</v>
      </c>
    </row>
    <row r="15" spans="1:22" ht="189" x14ac:dyDescent="0.25">
      <c r="A15" s="40"/>
      <c r="B15" s="38">
        <f t="shared" si="0"/>
        <v>10</v>
      </c>
      <c r="C15" s="68" t="s">
        <v>168</v>
      </c>
      <c r="D15" s="21" t="s">
        <v>179</v>
      </c>
      <c r="E15" s="21" t="s">
        <v>272</v>
      </c>
      <c r="F15" s="21" t="s">
        <v>169</v>
      </c>
      <c r="G15" s="21" t="s">
        <v>85</v>
      </c>
      <c r="H15" s="21" t="s">
        <v>159</v>
      </c>
      <c r="I15" s="21"/>
      <c r="J15" s="21" t="s">
        <v>225</v>
      </c>
      <c r="K15" s="21" t="s">
        <v>138</v>
      </c>
      <c r="L15" s="21" t="s">
        <v>244</v>
      </c>
      <c r="M15" s="21" t="s">
        <v>289</v>
      </c>
      <c r="N15" s="21" t="s">
        <v>305</v>
      </c>
      <c r="O15" s="21" t="s">
        <v>321</v>
      </c>
      <c r="P15" s="21" t="s">
        <v>341</v>
      </c>
      <c r="Q15" s="21" t="s">
        <v>352</v>
      </c>
      <c r="R15" s="21" t="s">
        <v>362</v>
      </c>
      <c r="S15" s="21"/>
      <c r="T15" s="21"/>
      <c r="U15" s="21" t="s">
        <v>393</v>
      </c>
      <c r="V15" s="21" t="s">
        <v>409</v>
      </c>
    </row>
    <row r="16" spans="1:22" ht="150" customHeight="1" x14ac:dyDescent="0.25">
      <c r="A16" s="40"/>
      <c r="B16" s="38">
        <f t="shared" si="0"/>
        <v>11</v>
      </c>
      <c r="C16" s="68" t="s">
        <v>121</v>
      </c>
      <c r="D16" s="21" t="s">
        <v>180</v>
      </c>
      <c r="E16" s="21" t="s">
        <v>272</v>
      </c>
      <c r="F16" s="21" t="s">
        <v>194</v>
      </c>
      <c r="G16" s="21" t="s">
        <v>85</v>
      </c>
      <c r="H16" s="21" t="s">
        <v>86</v>
      </c>
      <c r="I16" s="21" t="s">
        <v>173</v>
      </c>
      <c r="J16" s="21" t="s">
        <v>122</v>
      </c>
      <c r="K16" s="21" t="s">
        <v>145</v>
      </c>
      <c r="L16" s="21" t="s">
        <v>243</v>
      </c>
      <c r="M16" s="47" t="s">
        <v>291</v>
      </c>
      <c r="N16" s="47" t="s">
        <v>301</v>
      </c>
      <c r="O16" s="47" t="s">
        <v>324</v>
      </c>
      <c r="P16" s="47" t="s">
        <v>130</v>
      </c>
      <c r="Q16" s="47" t="s">
        <v>353</v>
      </c>
      <c r="R16" s="47" t="s">
        <v>361</v>
      </c>
      <c r="S16" s="69" t="s">
        <v>373</v>
      </c>
      <c r="T16" s="69" t="s">
        <v>381</v>
      </c>
      <c r="U16" s="69" t="s">
        <v>397</v>
      </c>
      <c r="V16" s="69" t="s">
        <v>413</v>
      </c>
    </row>
    <row r="17" spans="1:22" ht="31.5" x14ac:dyDescent="0.25">
      <c r="A17" s="66"/>
      <c r="B17" s="67">
        <f t="shared" si="0"/>
        <v>12</v>
      </c>
      <c r="C17" s="68" t="s">
        <v>277</v>
      </c>
      <c r="D17" s="68" t="s">
        <v>180</v>
      </c>
      <c r="E17" s="68" t="s">
        <v>272</v>
      </c>
      <c r="F17" s="68" t="s">
        <v>279</v>
      </c>
      <c r="G17" s="68" t="s">
        <v>85</v>
      </c>
      <c r="H17" s="68"/>
      <c r="I17" s="68"/>
      <c r="J17" s="68" t="s">
        <v>282</v>
      </c>
      <c r="K17" s="68" t="s">
        <v>281</v>
      </c>
      <c r="L17" s="68" t="s">
        <v>280</v>
      </c>
      <c r="M17" s="68" t="s">
        <v>280</v>
      </c>
      <c r="N17" s="68" t="s">
        <v>306</v>
      </c>
      <c r="O17" s="68" t="s">
        <v>306</v>
      </c>
      <c r="P17" s="68" t="s">
        <v>130</v>
      </c>
      <c r="Q17" s="68" t="s">
        <v>306</v>
      </c>
      <c r="R17" s="68" t="s">
        <v>306</v>
      </c>
      <c r="S17" s="68" t="s">
        <v>306</v>
      </c>
      <c r="T17" s="68" t="s">
        <v>306</v>
      </c>
      <c r="U17" s="68" t="s">
        <v>306</v>
      </c>
      <c r="V17" s="68" t="s">
        <v>306</v>
      </c>
    </row>
    <row r="18" spans="1:22" s="73" customFormat="1" ht="173.25" x14ac:dyDescent="0.25">
      <c r="A18" s="66"/>
      <c r="B18" s="67">
        <f t="shared" si="0"/>
        <v>13</v>
      </c>
      <c r="C18" s="68" t="s">
        <v>123</v>
      </c>
      <c r="D18" s="68" t="s">
        <v>180</v>
      </c>
      <c r="E18" s="68" t="s">
        <v>272</v>
      </c>
      <c r="F18" s="68" t="s">
        <v>278</v>
      </c>
      <c r="G18" s="68" t="s">
        <v>85</v>
      </c>
      <c r="H18" s="68"/>
      <c r="I18" s="68"/>
      <c r="J18" s="68" t="s">
        <v>227</v>
      </c>
      <c r="K18" s="68" t="s">
        <v>146</v>
      </c>
      <c r="L18" s="68" t="s">
        <v>250</v>
      </c>
      <c r="M18" s="68" t="s">
        <v>292</v>
      </c>
      <c r="N18" s="68" t="s">
        <v>303</v>
      </c>
      <c r="O18" s="68" t="s">
        <v>319</v>
      </c>
      <c r="P18" s="68" t="s">
        <v>130</v>
      </c>
      <c r="Q18" s="68" t="s">
        <v>348</v>
      </c>
      <c r="R18" s="68" t="s">
        <v>360</v>
      </c>
      <c r="S18" s="68"/>
      <c r="T18" s="68"/>
      <c r="U18" s="68" t="s">
        <v>394</v>
      </c>
      <c r="V18" s="68"/>
    </row>
    <row r="19" spans="1:22" s="73" customFormat="1" ht="409.5" x14ac:dyDescent="0.25">
      <c r="A19" s="66"/>
      <c r="B19" s="67">
        <f>B23+1</f>
        <v>18</v>
      </c>
      <c r="C19" s="68" t="s">
        <v>226</v>
      </c>
      <c r="D19" s="68" t="s">
        <v>180</v>
      </c>
      <c r="E19" s="68" t="s">
        <v>271</v>
      </c>
      <c r="F19" s="71" t="s">
        <v>167</v>
      </c>
      <c r="G19" s="71" t="s">
        <v>85</v>
      </c>
      <c r="H19" s="71" t="s">
        <v>165</v>
      </c>
      <c r="I19" s="71"/>
      <c r="J19" s="72" t="s">
        <v>239</v>
      </c>
      <c r="K19" s="72" t="s">
        <v>166</v>
      </c>
      <c r="L19" s="72" t="s">
        <v>255</v>
      </c>
      <c r="M19" s="72" t="s">
        <v>297</v>
      </c>
      <c r="N19" s="72" t="s">
        <v>310</v>
      </c>
      <c r="O19" s="72" t="s">
        <v>327</v>
      </c>
      <c r="P19" s="72" t="s">
        <v>342</v>
      </c>
      <c r="Q19" s="72" t="s">
        <v>354</v>
      </c>
      <c r="R19" s="72" t="s">
        <v>365</v>
      </c>
      <c r="S19" s="72" t="s">
        <v>376</v>
      </c>
      <c r="T19" s="72"/>
      <c r="U19" s="72" t="s">
        <v>396</v>
      </c>
      <c r="V19" s="72" t="s">
        <v>412</v>
      </c>
    </row>
    <row r="20" spans="1:22" ht="63" x14ac:dyDescent="0.25">
      <c r="A20" s="66"/>
      <c r="B20" s="67">
        <f>B18+1</f>
        <v>14</v>
      </c>
      <c r="C20" s="68" t="s">
        <v>275</v>
      </c>
      <c r="D20" s="68" t="s">
        <v>179</v>
      </c>
      <c r="E20" s="68" t="s">
        <v>272</v>
      </c>
      <c r="F20" s="68" t="s">
        <v>276</v>
      </c>
      <c r="G20" s="68" t="s">
        <v>85</v>
      </c>
      <c r="H20" s="68"/>
      <c r="I20" s="68"/>
      <c r="J20" s="68" t="s">
        <v>283</v>
      </c>
      <c r="K20" s="68" t="s">
        <v>284</v>
      </c>
      <c r="L20" s="68" t="s">
        <v>283</v>
      </c>
      <c r="M20" s="68" t="s">
        <v>293</v>
      </c>
      <c r="N20" s="68" t="s">
        <v>307</v>
      </c>
      <c r="O20" s="68" t="s">
        <v>323</v>
      </c>
      <c r="P20" s="68" t="s">
        <v>130</v>
      </c>
      <c r="Q20" s="68" t="s">
        <v>355</v>
      </c>
      <c r="R20" s="68" t="s">
        <v>364</v>
      </c>
      <c r="S20" s="68"/>
      <c r="T20" s="68"/>
      <c r="U20" s="68"/>
      <c r="V20" s="68"/>
    </row>
    <row r="21" spans="1:22" ht="78.75" x14ac:dyDescent="0.25">
      <c r="A21" s="40"/>
      <c r="B21" s="38">
        <f t="shared" si="0"/>
        <v>15</v>
      </c>
      <c r="C21" s="21" t="s">
        <v>195</v>
      </c>
      <c r="D21" s="21" t="s">
        <v>179</v>
      </c>
      <c r="E21" s="21" t="s">
        <v>272</v>
      </c>
      <c r="F21" s="21" t="s">
        <v>157</v>
      </c>
      <c r="G21" s="21" t="s">
        <v>85</v>
      </c>
      <c r="H21" s="21"/>
      <c r="I21" s="21"/>
      <c r="J21" s="21" t="s">
        <v>124</v>
      </c>
      <c r="K21" s="21" t="s">
        <v>147</v>
      </c>
      <c r="L21" s="21" t="s">
        <v>253</v>
      </c>
      <c r="M21" s="21" t="s">
        <v>294</v>
      </c>
      <c r="N21" s="21" t="s">
        <v>308</v>
      </c>
      <c r="O21" s="21" t="s">
        <v>308</v>
      </c>
      <c r="P21" s="21" t="s">
        <v>130</v>
      </c>
      <c r="Q21" s="21"/>
      <c r="R21" s="21"/>
      <c r="S21" s="21"/>
      <c r="T21" s="21"/>
      <c r="U21" s="21"/>
      <c r="V21" s="21"/>
    </row>
    <row r="22" spans="1:22" ht="110.25" x14ac:dyDescent="0.25">
      <c r="A22" s="40"/>
      <c r="B22" s="38">
        <f t="shared" si="0"/>
        <v>16</v>
      </c>
      <c r="C22" s="21" t="s">
        <v>105</v>
      </c>
      <c r="D22" s="21" t="s">
        <v>180</v>
      </c>
      <c r="E22" s="21" t="s">
        <v>272</v>
      </c>
      <c r="F22" s="21" t="s">
        <v>160</v>
      </c>
      <c r="G22" s="21" t="s">
        <v>85</v>
      </c>
      <c r="H22" s="30" t="s">
        <v>162</v>
      </c>
      <c r="I22" s="21" t="s">
        <v>174</v>
      </c>
      <c r="J22" s="21" t="s">
        <v>130</v>
      </c>
      <c r="K22" s="21" t="s">
        <v>237</v>
      </c>
      <c r="L22" s="21" t="s">
        <v>254</v>
      </c>
      <c r="M22" s="21" t="s">
        <v>295</v>
      </c>
      <c r="N22" s="21" t="s">
        <v>295</v>
      </c>
      <c r="O22" s="21"/>
      <c r="P22" s="21" t="s">
        <v>130</v>
      </c>
      <c r="Q22" s="21"/>
      <c r="R22" s="21"/>
      <c r="S22" s="21"/>
      <c r="T22" s="21"/>
      <c r="U22" s="21"/>
      <c r="V22" s="21"/>
    </row>
    <row r="23" spans="1:22" ht="189" x14ac:dyDescent="0.25">
      <c r="A23" s="40"/>
      <c r="B23" s="38">
        <f t="shared" si="0"/>
        <v>17</v>
      </c>
      <c r="C23" s="21" t="s">
        <v>161</v>
      </c>
      <c r="D23" s="21" t="s">
        <v>179</v>
      </c>
      <c r="E23" s="21" t="s">
        <v>271</v>
      </c>
      <c r="F23" s="21" t="s">
        <v>196</v>
      </c>
      <c r="G23" s="21" t="s">
        <v>85</v>
      </c>
      <c r="H23" s="21" t="s">
        <v>171</v>
      </c>
      <c r="I23" s="21"/>
      <c r="J23" s="21" t="s">
        <v>130</v>
      </c>
      <c r="K23" s="21" t="s">
        <v>170</v>
      </c>
      <c r="L23" s="21" t="s">
        <v>249</v>
      </c>
      <c r="M23" s="21" t="s">
        <v>296</v>
      </c>
      <c r="N23" s="21" t="s">
        <v>309</v>
      </c>
      <c r="O23" s="21"/>
      <c r="P23" s="21"/>
      <c r="Q23" s="21"/>
      <c r="R23" s="21"/>
      <c r="S23" s="21"/>
      <c r="T23" s="21"/>
      <c r="U23" s="21"/>
      <c r="V23" s="21"/>
    </row>
    <row r="24" spans="1:22" ht="141.75" x14ac:dyDescent="0.25">
      <c r="A24" s="53"/>
      <c r="B24" s="38">
        <f>B19+1</f>
        <v>19</v>
      </c>
      <c r="C24" s="21" t="s">
        <v>106</v>
      </c>
      <c r="D24" s="21" t="s">
        <v>180</v>
      </c>
      <c r="E24" s="21" t="s">
        <v>271</v>
      </c>
      <c r="F24" s="30" t="s">
        <v>90</v>
      </c>
      <c r="G24" s="30" t="s">
        <v>85</v>
      </c>
      <c r="H24" s="30" t="s">
        <v>163</v>
      </c>
      <c r="I24" s="30"/>
      <c r="J24" s="30" t="s">
        <v>130</v>
      </c>
      <c r="K24" s="30" t="s">
        <v>148</v>
      </c>
      <c r="L24" s="30" t="s">
        <v>252</v>
      </c>
      <c r="M24" s="30" t="s">
        <v>322</v>
      </c>
      <c r="N24" s="30" t="s">
        <v>295</v>
      </c>
      <c r="O24" s="30"/>
      <c r="P24" s="30"/>
      <c r="Q24" s="30" t="s">
        <v>349</v>
      </c>
      <c r="R24" s="30" t="s">
        <v>366</v>
      </c>
      <c r="S24" s="30"/>
      <c r="T24" s="30"/>
      <c r="U24" s="30" t="s">
        <v>395</v>
      </c>
      <c r="V24" s="30"/>
    </row>
    <row r="25" spans="1:22" ht="141.75" x14ac:dyDescent="0.25">
      <c r="A25" s="40"/>
      <c r="B25" s="38">
        <f t="shared" si="0"/>
        <v>20</v>
      </c>
      <c r="C25" s="21" t="s">
        <v>23</v>
      </c>
      <c r="D25" s="21" t="s">
        <v>180</v>
      </c>
      <c r="E25" s="21" t="s">
        <v>274</v>
      </c>
      <c r="F25" s="30" t="s">
        <v>155</v>
      </c>
      <c r="G25" s="30" t="s">
        <v>85</v>
      </c>
      <c r="H25" s="30" t="s">
        <v>94</v>
      </c>
      <c r="I25" s="30"/>
      <c r="J25" s="30" t="s">
        <v>125</v>
      </c>
      <c r="K25" s="30" t="s">
        <v>156</v>
      </c>
      <c r="L25" s="30" t="s">
        <v>247</v>
      </c>
      <c r="M25" s="30" t="s">
        <v>288</v>
      </c>
      <c r="N25" s="30" t="s">
        <v>311</v>
      </c>
      <c r="O25" s="30" t="s">
        <v>326</v>
      </c>
      <c r="P25" s="30" t="s">
        <v>338</v>
      </c>
      <c r="Q25" s="30" t="s">
        <v>350</v>
      </c>
      <c r="R25" s="30" t="s">
        <v>359</v>
      </c>
      <c r="S25" s="30" t="s">
        <v>375</v>
      </c>
      <c r="T25" s="30"/>
      <c r="U25" s="30" t="s">
        <v>398</v>
      </c>
      <c r="V25" s="30" t="s">
        <v>411</v>
      </c>
    </row>
    <row r="26" spans="1:22" ht="346.5" x14ac:dyDescent="0.25">
      <c r="A26" s="41"/>
      <c r="B26" s="42">
        <f t="shared" si="0"/>
        <v>21</v>
      </c>
      <c r="C26" s="28" t="s">
        <v>187</v>
      </c>
      <c r="D26" s="28" t="s">
        <v>179</v>
      </c>
      <c r="E26" s="28" t="s">
        <v>271</v>
      </c>
      <c r="F26" s="28" t="s">
        <v>188</v>
      </c>
      <c r="G26" s="28" t="s">
        <v>85</v>
      </c>
      <c r="H26" s="28" t="s">
        <v>87</v>
      </c>
      <c r="I26" s="28" t="s">
        <v>88</v>
      </c>
      <c r="J26" s="28" t="s">
        <v>130</v>
      </c>
      <c r="K26" s="28" t="s">
        <v>197</v>
      </c>
      <c r="L26" s="28" t="s">
        <v>256</v>
      </c>
      <c r="M26" s="28"/>
      <c r="N26" s="28" t="s">
        <v>312</v>
      </c>
      <c r="O26" s="21" t="s">
        <v>319</v>
      </c>
      <c r="P26" s="21"/>
      <c r="Q26" s="21"/>
      <c r="R26" s="21" t="s">
        <v>368</v>
      </c>
      <c r="S26" s="21"/>
      <c r="T26" s="21"/>
      <c r="U26" s="21"/>
      <c r="V26" s="21"/>
    </row>
    <row r="27" spans="1:22" s="65" customFormat="1" ht="157.5" x14ac:dyDescent="0.25">
      <c r="A27" s="40" t="s">
        <v>205</v>
      </c>
      <c r="B27" s="46">
        <f t="shared" si="0"/>
        <v>22</v>
      </c>
      <c r="C27" s="63" t="s">
        <v>198</v>
      </c>
      <c r="D27" s="63" t="s">
        <v>180</v>
      </c>
      <c r="E27" s="63" t="s">
        <v>272</v>
      </c>
      <c r="F27" s="63" t="s">
        <v>222</v>
      </c>
      <c r="G27" s="63" t="s">
        <v>85</v>
      </c>
      <c r="H27" s="63" t="s">
        <v>221</v>
      </c>
      <c r="I27" s="63"/>
      <c r="J27" s="64" t="s">
        <v>228</v>
      </c>
      <c r="K27" s="64" t="s">
        <v>258</v>
      </c>
      <c r="L27" s="64" t="s">
        <v>257</v>
      </c>
      <c r="M27" s="64"/>
      <c r="N27" s="64"/>
      <c r="O27" s="64"/>
      <c r="P27" s="64"/>
      <c r="Q27" s="64" t="s">
        <v>347</v>
      </c>
      <c r="R27" s="64"/>
      <c r="S27" s="64"/>
      <c r="T27" s="64"/>
      <c r="U27" s="64"/>
      <c r="V27" s="64"/>
    </row>
    <row r="28" spans="1:22" ht="157.5" x14ac:dyDescent="0.25">
      <c r="A28" s="40"/>
      <c r="B28" s="38">
        <f t="shared" si="0"/>
        <v>23</v>
      </c>
      <c r="C28" s="48" t="s">
        <v>206</v>
      </c>
      <c r="D28" s="48" t="s">
        <v>180</v>
      </c>
      <c r="E28" s="48" t="s">
        <v>274</v>
      </c>
      <c r="F28" s="31" t="s">
        <v>93</v>
      </c>
      <c r="G28" s="31" t="s">
        <v>85</v>
      </c>
      <c r="H28" s="31" t="s">
        <v>220</v>
      </c>
      <c r="I28" s="31"/>
      <c r="J28" s="31" t="s">
        <v>229</v>
      </c>
      <c r="K28" s="31" t="s">
        <v>207</v>
      </c>
      <c r="L28" s="31" t="s">
        <v>259</v>
      </c>
      <c r="M28" s="31"/>
      <c r="N28" s="31"/>
      <c r="O28" s="31"/>
      <c r="P28" s="31"/>
      <c r="Q28" s="31"/>
      <c r="R28" s="31" t="s">
        <v>367</v>
      </c>
      <c r="S28" s="31"/>
      <c r="T28" s="31"/>
      <c r="U28" s="31"/>
      <c r="V28" s="31"/>
    </row>
    <row r="29" spans="1:22" ht="157.5" x14ac:dyDescent="0.25">
      <c r="A29" s="40"/>
      <c r="B29" s="38">
        <f t="shared" si="0"/>
        <v>24</v>
      </c>
      <c r="C29" s="21" t="s">
        <v>223</v>
      </c>
      <c r="D29" s="21" t="s">
        <v>179</v>
      </c>
      <c r="E29" s="21" t="s">
        <v>271</v>
      </c>
      <c r="F29" s="30" t="s">
        <v>189</v>
      </c>
      <c r="G29" s="30" t="s">
        <v>85</v>
      </c>
      <c r="H29" s="30" t="s">
        <v>190</v>
      </c>
      <c r="I29" s="30"/>
      <c r="J29" s="30" t="s">
        <v>230</v>
      </c>
      <c r="K29" s="30" t="s">
        <v>217</v>
      </c>
      <c r="L29" s="30" t="s">
        <v>261</v>
      </c>
      <c r="M29" s="30"/>
      <c r="N29" s="30"/>
      <c r="O29" s="30"/>
      <c r="P29" s="30"/>
      <c r="Q29" s="30"/>
      <c r="R29" s="30"/>
      <c r="S29" s="30"/>
      <c r="T29" s="30"/>
      <c r="U29" s="30"/>
      <c r="V29" s="30"/>
    </row>
    <row r="30" spans="1:22" s="53" customFormat="1" ht="132.6" customHeight="1" x14ac:dyDescent="0.25">
      <c r="A30" s="40"/>
      <c r="B30" s="38">
        <f t="shared" si="0"/>
        <v>25</v>
      </c>
      <c r="C30" s="21" t="s">
        <v>107</v>
      </c>
      <c r="D30" s="21" t="s">
        <v>180</v>
      </c>
      <c r="E30" s="21" t="s">
        <v>272</v>
      </c>
      <c r="F30" s="30" t="s">
        <v>191</v>
      </c>
      <c r="G30" s="30" t="s">
        <v>85</v>
      </c>
      <c r="H30" s="30" t="s">
        <v>91</v>
      </c>
      <c r="I30" s="30" t="s">
        <v>92</v>
      </c>
      <c r="J30" s="52" t="s">
        <v>164</v>
      </c>
      <c r="K30" s="52" t="s">
        <v>224</v>
      </c>
      <c r="L30" s="52" t="s">
        <v>260</v>
      </c>
      <c r="M30" s="52"/>
      <c r="N30" s="52"/>
      <c r="O30" s="52"/>
      <c r="P30" s="52"/>
      <c r="Q30" s="52"/>
      <c r="R30" s="52"/>
      <c r="S30" s="52"/>
      <c r="T30" s="52"/>
      <c r="U30" s="52"/>
      <c r="V30" s="52"/>
    </row>
    <row r="31" spans="1:22" ht="189" x14ac:dyDescent="0.25">
      <c r="A31" s="41"/>
      <c r="B31" s="42">
        <f t="shared" si="0"/>
        <v>26</v>
      </c>
      <c r="C31" s="22" t="s">
        <v>128</v>
      </c>
      <c r="D31" s="22" t="s">
        <v>180</v>
      </c>
      <c r="E31" s="22" t="s">
        <v>272</v>
      </c>
      <c r="F31" s="32" t="s">
        <v>192</v>
      </c>
      <c r="G31" s="32"/>
      <c r="H31" s="32"/>
      <c r="I31" s="32"/>
      <c r="J31" s="32" t="s">
        <v>129</v>
      </c>
      <c r="K31" s="32" t="s">
        <v>208</v>
      </c>
      <c r="L31" s="32" t="s">
        <v>264</v>
      </c>
      <c r="M31" s="32"/>
      <c r="N31" s="32"/>
      <c r="O31" s="32"/>
      <c r="P31" s="32"/>
      <c r="Q31" s="32"/>
      <c r="R31" s="32"/>
      <c r="S31" s="32"/>
      <c r="T31" s="32"/>
      <c r="U31" s="32"/>
      <c r="V31" s="32"/>
    </row>
    <row r="32" spans="1:22" ht="221.1" customHeight="1" x14ac:dyDescent="0.25">
      <c r="A32" s="40" t="s">
        <v>172</v>
      </c>
      <c r="B32" s="46">
        <f t="shared" si="0"/>
        <v>27</v>
      </c>
      <c r="C32" s="49" t="s">
        <v>210</v>
      </c>
      <c r="D32" s="49" t="s">
        <v>180</v>
      </c>
      <c r="E32" s="49" t="s">
        <v>271</v>
      </c>
      <c r="F32" s="33" t="s">
        <v>216</v>
      </c>
      <c r="G32" s="33" t="s">
        <v>85</v>
      </c>
      <c r="H32" s="33" t="s">
        <v>211</v>
      </c>
      <c r="I32" s="33" t="s">
        <v>175</v>
      </c>
      <c r="J32" s="33" t="s">
        <v>130</v>
      </c>
      <c r="K32" s="33" t="s">
        <v>236</v>
      </c>
      <c r="L32" s="33" t="s">
        <v>266</v>
      </c>
      <c r="M32" s="33"/>
      <c r="N32" s="33"/>
      <c r="O32" s="33" t="s">
        <v>316</v>
      </c>
      <c r="P32" s="33"/>
      <c r="Q32" s="33"/>
      <c r="R32" s="33"/>
      <c r="S32" s="33"/>
      <c r="T32" s="33"/>
      <c r="U32" s="33"/>
      <c r="V32" s="33"/>
    </row>
    <row r="33" spans="1:22" s="39" customFormat="1" ht="141.75" x14ac:dyDescent="0.25">
      <c r="A33" s="40"/>
      <c r="B33" s="38">
        <f t="shared" si="0"/>
        <v>28</v>
      </c>
      <c r="C33" s="54" t="s">
        <v>132</v>
      </c>
      <c r="D33" s="54" t="s">
        <v>180</v>
      </c>
      <c r="E33" s="54" t="s">
        <v>271</v>
      </c>
      <c r="F33" s="55" t="s">
        <v>212</v>
      </c>
      <c r="G33" s="55" t="s">
        <v>85</v>
      </c>
      <c r="H33" s="55" t="s">
        <v>209</v>
      </c>
      <c r="I33" s="55" t="s">
        <v>175</v>
      </c>
      <c r="J33" s="55" t="s">
        <v>130</v>
      </c>
      <c r="K33" s="55" t="s">
        <v>130</v>
      </c>
      <c r="L33" s="55" t="s">
        <v>267</v>
      </c>
      <c r="M33" s="55"/>
      <c r="N33" s="55"/>
      <c r="O33" s="55"/>
      <c r="P33" s="55"/>
      <c r="Q33" s="55"/>
      <c r="R33" s="55"/>
      <c r="S33" s="55"/>
      <c r="T33" s="55"/>
      <c r="U33" s="55"/>
      <c r="V33" s="55"/>
    </row>
    <row r="34" spans="1:22" s="39" customFormat="1" ht="31.5" x14ac:dyDescent="0.25">
      <c r="A34" s="40"/>
      <c r="B34" s="38">
        <f t="shared" si="0"/>
        <v>29</v>
      </c>
      <c r="C34" s="54" t="s">
        <v>131</v>
      </c>
      <c r="D34" s="54" t="s">
        <v>180</v>
      </c>
      <c r="E34" s="54" t="s">
        <v>271</v>
      </c>
      <c r="F34" s="56" t="s">
        <v>213</v>
      </c>
      <c r="G34" s="56"/>
      <c r="H34" s="56"/>
      <c r="I34" s="56"/>
      <c r="J34" s="56" t="s">
        <v>130</v>
      </c>
      <c r="K34" s="56" t="s">
        <v>130</v>
      </c>
      <c r="L34" s="56" t="s">
        <v>133</v>
      </c>
      <c r="M34" s="56"/>
      <c r="N34" s="56"/>
      <c r="O34" s="56"/>
      <c r="P34" s="56"/>
      <c r="Q34" s="56"/>
      <c r="R34" s="56"/>
      <c r="S34" s="56"/>
      <c r="T34" s="56"/>
      <c r="U34" s="56"/>
      <c r="V34" s="56"/>
    </row>
    <row r="35" spans="1:22" s="39" customFormat="1" ht="94.5" x14ac:dyDescent="0.25">
      <c r="A35" s="40"/>
      <c r="B35" s="38">
        <f t="shared" si="0"/>
        <v>30</v>
      </c>
      <c r="C35" s="54" t="s">
        <v>214</v>
      </c>
      <c r="D35" s="54" t="s">
        <v>180</v>
      </c>
      <c r="E35" s="54" t="s">
        <v>271</v>
      </c>
      <c r="F35" s="56" t="s">
        <v>215</v>
      </c>
      <c r="G35" s="56"/>
      <c r="H35" s="56" t="s">
        <v>95</v>
      </c>
      <c r="I35" s="56" t="s">
        <v>176</v>
      </c>
      <c r="J35" s="56" t="s">
        <v>130</v>
      </c>
      <c r="K35" s="56" t="s">
        <v>130</v>
      </c>
      <c r="L35" s="56" t="s">
        <v>133</v>
      </c>
      <c r="M35" s="56"/>
      <c r="N35" s="56"/>
      <c r="O35" s="56" t="s">
        <v>325</v>
      </c>
      <c r="P35" s="56"/>
      <c r="Q35" s="56"/>
      <c r="R35" s="56"/>
      <c r="S35" s="56"/>
      <c r="T35" s="56"/>
      <c r="U35" s="56"/>
      <c r="V35" s="56"/>
    </row>
    <row r="36" spans="1:22" ht="78.75" x14ac:dyDescent="0.25">
      <c r="A36" s="40"/>
      <c r="B36" s="38">
        <f t="shared" si="0"/>
        <v>31</v>
      </c>
      <c r="C36" s="21" t="s">
        <v>108</v>
      </c>
      <c r="D36" s="21" t="s">
        <v>180</v>
      </c>
      <c r="E36" s="21" t="s">
        <v>271</v>
      </c>
      <c r="F36" s="30" t="s">
        <v>218</v>
      </c>
      <c r="G36" s="30" t="s">
        <v>85</v>
      </c>
      <c r="H36" s="30"/>
      <c r="I36" s="30" t="s">
        <v>177</v>
      </c>
      <c r="J36" s="30" t="s">
        <v>130</v>
      </c>
      <c r="K36" s="30" t="s">
        <v>219</v>
      </c>
      <c r="L36" s="30" t="s">
        <v>269</v>
      </c>
      <c r="M36" s="30"/>
      <c r="N36" s="30"/>
      <c r="O36" s="30"/>
      <c r="P36" s="30"/>
      <c r="Q36" s="30"/>
      <c r="R36" s="30"/>
      <c r="S36" s="30"/>
      <c r="T36" s="30"/>
      <c r="U36" s="30"/>
      <c r="V36" s="30"/>
    </row>
    <row r="37" spans="1:22" x14ac:dyDescent="0.25">
      <c r="A37" s="41"/>
      <c r="B37" s="42">
        <f t="shared" si="0"/>
        <v>32</v>
      </c>
      <c r="C37" s="22" t="s">
        <v>109</v>
      </c>
      <c r="D37" s="22" t="s">
        <v>180</v>
      </c>
      <c r="E37" s="22" t="s">
        <v>271</v>
      </c>
      <c r="F37" s="34" t="s">
        <v>96</v>
      </c>
      <c r="G37" s="34" t="s">
        <v>85</v>
      </c>
      <c r="H37" s="34"/>
      <c r="I37" s="34"/>
      <c r="J37" s="34" t="s">
        <v>130</v>
      </c>
      <c r="K37" s="34" t="s">
        <v>130</v>
      </c>
      <c r="L37" s="34" t="s">
        <v>268</v>
      </c>
      <c r="M37" s="34"/>
      <c r="N37" s="34"/>
      <c r="O37" s="34"/>
      <c r="P37" s="34"/>
      <c r="Q37" s="34"/>
      <c r="R37" s="34"/>
      <c r="S37" s="34"/>
      <c r="T37" s="34"/>
      <c r="U37" s="34"/>
      <c r="V37" s="34"/>
    </row>
    <row r="38" spans="1:22" ht="94.5" x14ac:dyDescent="0.25">
      <c r="A38" s="43" t="s">
        <v>97</v>
      </c>
      <c r="B38" s="44">
        <f t="shared" si="0"/>
        <v>33</v>
      </c>
      <c r="C38" s="23" t="s">
        <v>40</v>
      </c>
      <c r="D38" s="23" t="s">
        <v>180</v>
      </c>
      <c r="E38" s="23" t="s">
        <v>274</v>
      </c>
      <c r="F38" s="25" t="s">
        <v>98</v>
      </c>
      <c r="G38" s="25" t="s">
        <v>85</v>
      </c>
      <c r="H38" s="25" t="s">
        <v>99</v>
      </c>
      <c r="I38" s="25" t="s">
        <v>100</v>
      </c>
      <c r="J38" s="25" t="s">
        <v>130</v>
      </c>
      <c r="K38" s="25" t="s">
        <v>135</v>
      </c>
      <c r="L38" s="25" t="s">
        <v>43</v>
      </c>
    </row>
    <row r="39" spans="1:22" ht="126" x14ac:dyDescent="0.25">
      <c r="A39" s="43"/>
      <c r="B39" s="44">
        <f t="shared" si="0"/>
        <v>34</v>
      </c>
      <c r="C39" s="23" t="s">
        <v>136</v>
      </c>
      <c r="D39" s="23" t="s">
        <v>180</v>
      </c>
      <c r="E39" s="23" t="s">
        <v>271</v>
      </c>
      <c r="F39" s="25" t="s">
        <v>232</v>
      </c>
      <c r="G39" s="25" t="s">
        <v>85</v>
      </c>
      <c r="H39" s="25" t="s">
        <v>231</v>
      </c>
      <c r="J39" s="25" t="s">
        <v>235</v>
      </c>
      <c r="K39" s="25" t="s">
        <v>238</v>
      </c>
      <c r="L39" s="25" t="s">
        <v>263</v>
      </c>
    </row>
    <row r="40" spans="1:22" ht="78.75" x14ac:dyDescent="0.25">
      <c r="A40" s="43"/>
      <c r="B40" s="44">
        <f t="shared" si="0"/>
        <v>35</v>
      </c>
      <c r="C40" s="23" t="s">
        <v>44</v>
      </c>
      <c r="D40" s="23" t="s">
        <v>180</v>
      </c>
      <c r="E40" s="23" t="s">
        <v>271</v>
      </c>
      <c r="F40" s="25" t="s">
        <v>101</v>
      </c>
      <c r="G40" s="25" t="s">
        <v>85</v>
      </c>
      <c r="H40" s="25" t="s">
        <v>200</v>
      </c>
      <c r="J40" s="25" t="s">
        <v>130</v>
      </c>
      <c r="K40" s="25" t="s">
        <v>199</v>
      </c>
      <c r="L40" s="25" t="s">
        <v>248</v>
      </c>
    </row>
    <row r="41" spans="1:22" ht="94.5" x14ac:dyDescent="0.25">
      <c r="A41" s="43"/>
      <c r="B41" s="44">
        <f t="shared" si="0"/>
        <v>36</v>
      </c>
      <c r="C41" s="24" t="s">
        <v>110</v>
      </c>
      <c r="D41" s="24" t="s">
        <v>180</v>
      </c>
      <c r="E41" s="24" t="s">
        <v>271</v>
      </c>
      <c r="F41" s="26" t="s">
        <v>102</v>
      </c>
      <c r="G41" s="26"/>
      <c r="H41" s="26" t="s">
        <v>117</v>
      </c>
      <c r="I41" s="26"/>
      <c r="J41" s="26" t="s">
        <v>130</v>
      </c>
      <c r="K41" s="26" t="s">
        <v>199</v>
      </c>
      <c r="L41" s="26" t="s">
        <v>262</v>
      </c>
      <c r="M41" s="26"/>
      <c r="N41" s="26"/>
      <c r="O41" s="26"/>
      <c r="P41" s="26"/>
      <c r="Q41" s="26"/>
      <c r="R41" s="26"/>
      <c r="S41" s="26"/>
      <c r="T41" s="26"/>
      <c r="U41" s="26"/>
      <c r="V41" s="26"/>
    </row>
    <row r="42" spans="1:22" x14ac:dyDescent="0.25">
      <c r="A42" s="23"/>
      <c r="B42" s="50"/>
    </row>
  </sheetData>
  <autoFilter ref="A3:L41" xr:uid="{B0E4F800-E741-4A79-AEB3-0988D5C890DD}"/>
  <mergeCells count="1">
    <mergeCell ref="A5:A9"/>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9247C-F9E3-4784-8032-15D25FECBA16}">
  <dimension ref="A1:E81"/>
  <sheetViews>
    <sheetView topLeftCell="A19" workbookViewId="0">
      <selection activeCell="C41" sqref="C41"/>
    </sheetView>
  </sheetViews>
  <sheetFormatPr defaultRowHeight="15" x14ac:dyDescent="0.25"/>
  <cols>
    <col min="1" max="1" width="75.7109375" bestFit="1" customWidth="1"/>
    <col min="2" max="2" width="19" bestFit="1" customWidth="1"/>
    <col min="3" max="3" width="56.5703125" customWidth="1"/>
    <col min="4" max="4" width="21.140625" customWidth="1"/>
    <col min="5" max="5" width="30.42578125" customWidth="1"/>
    <col min="6" max="6" width="77.28515625" bestFit="1" customWidth="1"/>
  </cols>
  <sheetData>
    <row r="1" spans="1:4" x14ac:dyDescent="0.25">
      <c r="A1" t="s">
        <v>403</v>
      </c>
      <c r="B1" t="s">
        <v>404</v>
      </c>
      <c r="C1" t="s">
        <v>406</v>
      </c>
      <c r="D1" t="s">
        <v>407</v>
      </c>
    </row>
    <row r="2" spans="1:4" x14ac:dyDescent="0.25">
      <c r="A2" t="s">
        <v>114</v>
      </c>
      <c r="B2" t="s">
        <v>111</v>
      </c>
      <c r="C2" t="s">
        <v>116</v>
      </c>
      <c r="D2">
        <v>6</v>
      </c>
    </row>
    <row r="3" spans="1:4" x14ac:dyDescent="0.25">
      <c r="A3" t="s">
        <v>115</v>
      </c>
      <c r="B3" t="s">
        <v>111</v>
      </c>
      <c r="C3" t="s">
        <v>119</v>
      </c>
      <c r="D3">
        <v>43</v>
      </c>
    </row>
    <row r="4" spans="1:4" x14ac:dyDescent="0.25">
      <c r="A4" t="s">
        <v>241</v>
      </c>
      <c r="B4" t="s">
        <v>111</v>
      </c>
      <c r="C4" t="s">
        <v>242</v>
      </c>
      <c r="D4">
        <v>34</v>
      </c>
    </row>
    <row r="5" spans="1:4" x14ac:dyDescent="0.25">
      <c r="A5" t="s">
        <v>285</v>
      </c>
      <c r="B5" t="s">
        <v>111</v>
      </c>
      <c r="C5" t="s">
        <v>286</v>
      </c>
      <c r="D5">
        <v>23</v>
      </c>
    </row>
    <row r="6" spans="1:4" x14ac:dyDescent="0.25">
      <c r="A6" t="s">
        <v>298</v>
      </c>
      <c r="B6" t="s">
        <v>111</v>
      </c>
      <c r="C6" t="s">
        <v>313</v>
      </c>
      <c r="D6">
        <v>51</v>
      </c>
    </row>
    <row r="7" spans="1:4" x14ac:dyDescent="0.25">
      <c r="A7" t="s">
        <v>318</v>
      </c>
      <c r="B7" t="s">
        <v>111</v>
      </c>
      <c r="C7" t="s">
        <v>314</v>
      </c>
      <c r="D7">
        <v>39</v>
      </c>
    </row>
    <row r="8" spans="1:4" x14ac:dyDescent="0.25">
      <c r="A8" t="s">
        <v>328</v>
      </c>
      <c r="B8" t="s">
        <v>111</v>
      </c>
      <c r="C8" t="s">
        <v>336</v>
      </c>
      <c r="D8">
        <v>11</v>
      </c>
    </row>
    <row r="9" spans="1:4" x14ac:dyDescent="0.25">
      <c r="A9" t="s">
        <v>343</v>
      </c>
      <c r="B9" t="s">
        <v>111</v>
      </c>
      <c r="C9" t="s">
        <v>345</v>
      </c>
      <c r="D9">
        <v>31</v>
      </c>
    </row>
    <row r="10" spans="1:4" x14ac:dyDescent="0.25">
      <c r="A10" t="s">
        <v>356</v>
      </c>
      <c r="B10" t="s">
        <v>111</v>
      </c>
      <c r="C10" t="s">
        <v>286</v>
      </c>
      <c r="D10">
        <v>23</v>
      </c>
    </row>
    <row r="11" spans="1:4" x14ac:dyDescent="0.25">
      <c r="A11" t="s">
        <v>369</v>
      </c>
      <c r="B11" t="s">
        <v>111</v>
      </c>
      <c r="C11" t="s">
        <v>371</v>
      </c>
      <c r="D11">
        <v>12</v>
      </c>
    </row>
    <row r="12" spans="1:4" x14ac:dyDescent="0.25">
      <c r="A12" t="s">
        <v>382</v>
      </c>
      <c r="B12" t="s">
        <v>111</v>
      </c>
      <c r="C12" t="s">
        <v>378</v>
      </c>
      <c r="D12">
        <v>10</v>
      </c>
    </row>
    <row r="13" spans="1:4" x14ac:dyDescent="0.25">
      <c r="A13" t="s">
        <v>386</v>
      </c>
      <c r="B13" t="s">
        <v>111</v>
      </c>
      <c r="C13" t="s">
        <v>385</v>
      </c>
      <c r="D13">
        <v>15</v>
      </c>
    </row>
    <row r="14" spans="1:4" x14ac:dyDescent="0.25">
      <c r="A14" t="s">
        <v>399</v>
      </c>
      <c r="B14" t="s">
        <v>111</v>
      </c>
      <c r="C14" t="s">
        <v>401</v>
      </c>
      <c r="D14">
        <v>125</v>
      </c>
    </row>
    <row r="15" spans="1:4" x14ac:dyDescent="0.25">
      <c r="A15" t="s">
        <v>114</v>
      </c>
      <c r="B15" t="s">
        <v>112</v>
      </c>
      <c r="C15" t="s">
        <v>118</v>
      </c>
      <c r="D15" t="s">
        <v>118</v>
      </c>
    </row>
    <row r="16" spans="1:4" x14ac:dyDescent="0.25">
      <c r="A16" t="s">
        <v>115</v>
      </c>
      <c r="B16" t="s">
        <v>112</v>
      </c>
      <c r="C16" t="s">
        <v>140</v>
      </c>
      <c r="D16" t="s">
        <v>140</v>
      </c>
    </row>
    <row r="17" spans="1:4" x14ac:dyDescent="0.25">
      <c r="A17" t="s">
        <v>241</v>
      </c>
      <c r="B17" t="s">
        <v>112</v>
      </c>
      <c r="C17" t="s">
        <v>140</v>
      </c>
      <c r="D17" t="s">
        <v>140</v>
      </c>
    </row>
    <row r="18" spans="1:4" x14ac:dyDescent="0.25">
      <c r="A18" t="s">
        <v>285</v>
      </c>
      <c r="B18" t="s">
        <v>112</v>
      </c>
      <c r="C18" t="s">
        <v>140</v>
      </c>
      <c r="D18" t="s">
        <v>140</v>
      </c>
    </row>
    <row r="19" spans="1:4" x14ac:dyDescent="0.25">
      <c r="A19" t="s">
        <v>298</v>
      </c>
      <c r="B19" t="s">
        <v>112</v>
      </c>
      <c r="C19" t="s">
        <v>140</v>
      </c>
      <c r="D19" t="s">
        <v>140</v>
      </c>
    </row>
    <row r="20" spans="1:4" x14ac:dyDescent="0.25">
      <c r="A20" t="s">
        <v>318</v>
      </c>
      <c r="B20" t="s">
        <v>112</v>
      </c>
      <c r="C20" t="s">
        <v>140</v>
      </c>
      <c r="D20" t="s">
        <v>140</v>
      </c>
    </row>
    <row r="21" spans="1:4" x14ac:dyDescent="0.25">
      <c r="A21" t="s">
        <v>328</v>
      </c>
      <c r="B21" t="s">
        <v>112</v>
      </c>
      <c r="C21" t="s">
        <v>329</v>
      </c>
      <c r="D21" t="s">
        <v>329</v>
      </c>
    </row>
    <row r="22" spans="1:4" x14ac:dyDescent="0.25">
      <c r="A22" t="s">
        <v>343</v>
      </c>
      <c r="B22" t="s">
        <v>112</v>
      </c>
      <c r="C22" t="s">
        <v>140</v>
      </c>
      <c r="D22" t="s">
        <v>140</v>
      </c>
    </row>
    <row r="23" spans="1:4" x14ac:dyDescent="0.25">
      <c r="A23" t="s">
        <v>356</v>
      </c>
      <c r="B23" t="s">
        <v>112</v>
      </c>
      <c r="C23" t="s">
        <v>140</v>
      </c>
      <c r="D23" t="s">
        <v>140</v>
      </c>
    </row>
    <row r="24" spans="1:4" x14ac:dyDescent="0.25">
      <c r="A24" t="s">
        <v>369</v>
      </c>
      <c r="B24" t="s">
        <v>112</v>
      </c>
      <c r="C24" t="s">
        <v>140</v>
      </c>
      <c r="D24" t="s">
        <v>140</v>
      </c>
    </row>
    <row r="25" spans="1:4" x14ac:dyDescent="0.25">
      <c r="A25" t="s">
        <v>382</v>
      </c>
      <c r="B25" t="s">
        <v>112</v>
      </c>
      <c r="C25" t="s">
        <v>140</v>
      </c>
      <c r="D25" t="s">
        <v>140</v>
      </c>
    </row>
    <row r="26" spans="1:4" x14ac:dyDescent="0.25">
      <c r="A26" t="s">
        <v>386</v>
      </c>
      <c r="B26" t="s">
        <v>112</v>
      </c>
      <c r="C26" t="s">
        <v>384</v>
      </c>
      <c r="D26" t="s">
        <v>118</v>
      </c>
    </row>
    <row r="27" spans="1:4" x14ac:dyDescent="0.25">
      <c r="A27" t="s">
        <v>399</v>
      </c>
      <c r="B27" t="s">
        <v>112</v>
      </c>
      <c r="C27" t="s">
        <v>402</v>
      </c>
      <c r="D27" t="s">
        <v>329</v>
      </c>
    </row>
    <row r="28" spans="1:4" x14ac:dyDescent="0.25">
      <c r="A28" t="s">
        <v>114</v>
      </c>
      <c r="B28" t="s">
        <v>405</v>
      </c>
      <c r="C28" t="s">
        <v>335</v>
      </c>
      <c r="D28" t="s">
        <v>408</v>
      </c>
    </row>
    <row r="29" spans="1:4" x14ac:dyDescent="0.25">
      <c r="A29" t="s">
        <v>115</v>
      </c>
      <c r="B29" t="s">
        <v>405</v>
      </c>
      <c r="C29" t="s">
        <v>334</v>
      </c>
      <c r="D29" t="s">
        <v>334</v>
      </c>
    </row>
    <row r="30" spans="1:4" x14ac:dyDescent="0.25">
      <c r="A30" t="s">
        <v>241</v>
      </c>
      <c r="B30" t="s">
        <v>405</v>
      </c>
      <c r="C30" t="s">
        <v>333</v>
      </c>
      <c r="D30" t="s">
        <v>370</v>
      </c>
    </row>
    <row r="31" spans="1:4" x14ac:dyDescent="0.25">
      <c r="A31" t="s">
        <v>285</v>
      </c>
      <c r="B31" t="s">
        <v>405</v>
      </c>
      <c r="C31" t="s">
        <v>332</v>
      </c>
      <c r="D31" t="s">
        <v>332</v>
      </c>
    </row>
    <row r="32" spans="1:4" x14ac:dyDescent="0.25">
      <c r="A32" t="s">
        <v>298</v>
      </c>
      <c r="B32" t="s">
        <v>405</v>
      </c>
      <c r="C32" t="s">
        <v>331</v>
      </c>
      <c r="D32" t="s">
        <v>331</v>
      </c>
    </row>
    <row r="33" spans="1:4" x14ac:dyDescent="0.25">
      <c r="A33" t="s">
        <v>318</v>
      </c>
      <c r="B33" t="s">
        <v>405</v>
      </c>
      <c r="C33" t="s">
        <v>331</v>
      </c>
      <c r="D33" t="s">
        <v>331</v>
      </c>
    </row>
    <row r="34" spans="1:4" x14ac:dyDescent="0.25">
      <c r="A34" t="s">
        <v>328</v>
      </c>
      <c r="B34" t="s">
        <v>405</v>
      </c>
      <c r="C34" t="s">
        <v>330</v>
      </c>
      <c r="D34" t="s">
        <v>408</v>
      </c>
    </row>
    <row r="35" spans="1:4" x14ac:dyDescent="0.25">
      <c r="A35" t="s">
        <v>343</v>
      </c>
      <c r="B35" t="s">
        <v>405</v>
      </c>
      <c r="C35" t="s">
        <v>344</v>
      </c>
    </row>
    <row r="36" spans="1:4" x14ac:dyDescent="0.25">
      <c r="A36" t="s">
        <v>356</v>
      </c>
      <c r="B36" t="s">
        <v>405</v>
      </c>
      <c r="C36" t="s">
        <v>332</v>
      </c>
      <c r="D36" t="s">
        <v>332</v>
      </c>
    </row>
    <row r="37" spans="1:4" x14ac:dyDescent="0.25">
      <c r="A37" t="s">
        <v>369</v>
      </c>
      <c r="B37" t="s">
        <v>405</v>
      </c>
      <c r="C37" t="s">
        <v>370</v>
      </c>
      <c r="D37" t="s">
        <v>370</v>
      </c>
    </row>
    <row r="38" spans="1:4" x14ac:dyDescent="0.25">
      <c r="A38" t="s">
        <v>382</v>
      </c>
      <c r="B38" t="s">
        <v>405</v>
      </c>
      <c r="C38" t="s">
        <v>377</v>
      </c>
      <c r="D38" t="s">
        <v>408</v>
      </c>
    </row>
    <row r="39" spans="1:4" x14ac:dyDescent="0.25">
      <c r="A39" t="s">
        <v>386</v>
      </c>
      <c r="B39" t="s">
        <v>405</v>
      </c>
      <c r="C39" t="s">
        <v>383</v>
      </c>
      <c r="D39" t="s">
        <v>408</v>
      </c>
    </row>
    <row r="40" spans="1:4" x14ac:dyDescent="0.25">
      <c r="A40" t="s">
        <v>399</v>
      </c>
      <c r="B40" t="s">
        <v>405</v>
      </c>
      <c r="C40" t="s">
        <v>400</v>
      </c>
      <c r="D40" t="s">
        <v>408</v>
      </c>
    </row>
    <row r="41" spans="1:4" x14ac:dyDescent="0.25">
      <c r="A41" t="s">
        <v>114</v>
      </c>
      <c r="B41" t="s">
        <v>104</v>
      </c>
      <c r="C41" t="s">
        <v>414</v>
      </c>
      <c r="D41" t="s">
        <v>426</v>
      </c>
    </row>
    <row r="42" spans="1:4" x14ac:dyDescent="0.25">
      <c r="A42" t="s">
        <v>115</v>
      </c>
      <c r="B42" t="s">
        <v>104</v>
      </c>
      <c r="C42" t="s">
        <v>415</v>
      </c>
      <c r="D42" t="s">
        <v>427</v>
      </c>
    </row>
    <row r="43" spans="1:4" x14ac:dyDescent="0.25">
      <c r="A43" t="s">
        <v>241</v>
      </c>
      <c r="B43" t="s">
        <v>104</v>
      </c>
      <c r="C43" t="s">
        <v>416</v>
      </c>
      <c r="D43" t="s">
        <v>430</v>
      </c>
    </row>
    <row r="44" spans="1:4" x14ac:dyDescent="0.25">
      <c r="A44" t="s">
        <v>285</v>
      </c>
      <c r="B44" t="s">
        <v>104</v>
      </c>
      <c r="C44" t="s">
        <v>417</v>
      </c>
      <c r="D44" t="s">
        <v>433</v>
      </c>
    </row>
    <row r="45" spans="1:4" x14ac:dyDescent="0.25">
      <c r="A45" t="s">
        <v>298</v>
      </c>
      <c r="B45" t="s">
        <v>104</v>
      </c>
      <c r="C45" t="s">
        <v>418</v>
      </c>
      <c r="D45" t="s">
        <v>436</v>
      </c>
    </row>
    <row r="46" spans="1:4" x14ac:dyDescent="0.25">
      <c r="A46" t="s">
        <v>318</v>
      </c>
      <c r="B46" t="s">
        <v>104</v>
      </c>
      <c r="C46" t="s">
        <v>419</v>
      </c>
      <c r="D46" t="s">
        <v>436</v>
      </c>
    </row>
    <row r="47" spans="1:4" x14ac:dyDescent="0.25">
      <c r="A47" t="s">
        <v>328</v>
      </c>
      <c r="B47" t="s">
        <v>104</v>
      </c>
      <c r="C47" t="s">
        <v>420</v>
      </c>
      <c r="D47" t="s">
        <v>441</v>
      </c>
    </row>
    <row r="48" spans="1:4" x14ac:dyDescent="0.25">
      <c r="A48" t="s">
        <v>343</v>
      </c>
      <c r="B48" t="s">
        <v>104</v>
      </c>
      <c r="C48" t="s">
        <v>421</v>
      </c>
      <c r="D48" t="s">
        <v>443</v>
      </c>
    </row>
    <row r="49" spans="1:5" x14ac:dyDescent="0.25">
      <c r="A49" t="s">
        <v>356</v>
      </c>
      <c r="B49" t="s">
        <v>104</v>
      </c>
      <c r="C49" t="s">
        <v>422</v>
      </c>
      <c r="D49" t="s">
        <v>446</v>
      </c>
      <c r="E49" t="s">
        <v>459</v>
      </c>
    </row>
    <row r="50" spans="1:5" x14ac:dyDescent="0.25">
      <c r="A50" t="s">
        <v>369</v>
      </c>
      <c r="B50" t="s">
        <v>104</v>
      </c>
      <c r="C50" t="s">
        <v>423</v>
      </c>
      <c r="D50" t="s">
        <v>449</v>
      </c>
      <c r="E50" t="s">
        <v>459</v>
      </c>
    </row>
    <row r="51" spans="1:5" x14ac:dyDescent="0.25">
      <c r="A51" t="s">
        <v>382</v>
      </c>
      <c r="B51" t="s">
        <v>104</v>
      </c>
      <c r="C51" t="s">
        <v>423</v>
      </c>
      <c r="D51" t="s">
        <v>449</v>
      </c>
      <c r="E51" t="s">
        <v>459</v>
      </c>
    </row>
    <row r="52" spans="1:5" x14ac:dyDescent="0.25">
      <c r="A52" t="s">
        <v>386</v>
      </c>
      <c r="B52" t="s">
        <v>104</v>
      </c>
      <c r="C52" t="s">
        <v>424</v>
      </c>
      <c r="D52" t="s">
        <v>391</v>
      </c>
      <c r="E52" t="s">
        <v>460</v>
      </c>
    </row>
    <row r="53" spans="1:5" x14ac:dyDescent="0.25">
      <c r="A53" t="s">
        <v>399</v>
      </c>
      <c r="B53" t="s">
        <v>104</v>
      </c>
      <c r="C53" t="s">
        <v>425</v>
      </c>
      <c r="D53" t="s">
        <v>454</v>
      </c>
      <c r="E53" t="s">
        <v>461</v>
      </c>
    </row>
    <row r="54" spans="1:5" x14ac:dyDescent="0.25">
      <c r="A54" t="s">
        <v>114</v>
      </c>
      <c r="B54" t="s">
        <v>104</v>
      </c>
      <c r="C54" t="s">
        <v>414</v>
      </c>
      <c r="D54" t="s">
        <v>434</v>
      </c>
    </row>
    <row r="55" spans="1:5" x14ac:dyDescent="0.25">
      <c r="A55" t="s">
        <v>115</v>
      </c>
      <c r="B55" t="s">
        <v>104</v>
      </c>
      <c r="C55" t="s">
        <v>415</v>
      </c>
      <c r="D55" t="s">
        <v>428</v>
      </c>
    </row>
    <row r="56" spans="1:5" x14ac:dyDescent="0.25">
      <c r="A56" t="s">
        <v>241</v>
      </c>
      <c r="B56" t="s">
        <v>104</v>
      </c>
      <c r="C56" t="s">
        <v>416</v>
      </c>
      <c r="D56" t="s">
        <v>431</v>
      </c>
    </row>
    <row r="57" spans="1:5" x14ac:dyDescent="0.25">
      <c r="A57" t="s">
        <v>285</v>
      </c>
      <c r="B57" t="s">
        <v>104</v>
      </c>
      <c r="C57" t="s">
        <v>417</v>
      </c>
      <c r="D57" t="s">
        <v>434</v>
      </c>
    </row>
    <row r="58" spans="1:5" x14ac:dyDescent="0.25">
      <c r="A58" t="s">
        <v>298</v>
      </c>
      <c r="B58" t="s">
        <v>104</v>
      </c>
      <c r="C58" t="s">
        <v>418</v>
      </c>
      <c r="D58" t="s">
        <v>437</v>
      </c>
    </row>
    <row r="59" spans="1:5" x14ac:dyDescent="0.25">
      <c r="A59" t="s">
        <v>318</v>
      </c>
      <c r="B59" t="s">
        <v>104</v>
      </c>
      <c r="C59" t="s">
        <v>419</v>
      </c>
      <c r="D59" t="s">
        <v>439</v>
      </c>
    </row>
    <row r="60" spans="1:5" x14ac:dyDescent="0.25">
      <c r="A60" t="s">
        <v>328</v>
      </c>
      <c r="B60" t="s">
        <v>104</v>
      </c>
      <c r="C60" t="s">
        <v>420</v>
      </c>
      <c r="D60" t="s">
        <v>458</v>
      </c>
    </row>
    <row r="61" spans="1:5" x14ac:dyDescent="0.25">
      <c r="A61" t="s">
        <v>343</v>
      </c>
      <c r="B61" t="s">
        <v>104</v>
      </c>
      <c r="C61" t="s">
        <v>421</v>
      </c>
      <c r="D61" t="s">
        <v>444</v>
      </c>
    </row>
    <row r="62" spans="1:5" x14ac:dyDescent="0.25">
      <c r="A62" t="s">
        <v>356</v>
      </c>
      <c r="B62" t="s">
        <v>104</v>
      </c>
      <c r="C62" t="s">
        <v>422</v>
      </c>
      <c r="D62" t="s">
        <v>447</v>
      </c>
    </row>
    <row r="63" spans="1:5" x14ac:dyDescent="0.25">
      <c r="A63" t="s">
        <v>369</v>
      </c>
      <c r="B63" t="s">
        <v>104</v>
      </c>
      <c r="C63" t="s">
        <v>423</v>
      </c>
      <c r="D63" t="s">
        <v>450</v>
      </c>
    </row>
    <row r="64" spans="1:5" x14ac:dyDescent="0.25">
      <c r="A64" t="s">
        <v>382</v>
      </c>
      <c r="B64" t="s">
        <v>104</v>
      </c>
      <c r="C64" t="s">
        <v>423</v>
      </c>
      <c r="D64" t="s">
        <v>450</v>
      </c>
    </row>
    <row r="65" spans="1:4" x14ac:dyDescent="0.25">
      <c r="A65" t="s">
        <v>386</v>
      </c>
      <c r="B65" t="s">
        <v>104</v>
      </c>
      <c r="C65" t="s">
        <v>424</v>
      </c>
      <c r="D65" t="s">
        <v>452</v>
      </c>
    </row>
    <row r="66" spans="1:4" x14ac:dyDescent="0.25">
      <c r="A66" t="s">
        <v>399</v>
      </c>
      <c r="B66" t="s">
        <v>104</v>
      </c>
      <c r="C66" t="s">
        <v>425</v>
      </c>
      <c r="D66" t="s">
        <v>455</v>
      </c>
    </row>
    <row r="67" spans="1:4" x14ac:dyDescent="0.25">
      <c r="A67" t="s">
        <v>386</v>
      </c>
      <c r="B67" t="s">
        <v>104</v>
      </c>
      <c r="C67" t="s">
        <v>424</v>
      </c>
      <c r="D67" t="s">
        <v>457</v>
      </c>
    </row>
    <row r="68" spans="1:4" x14ac:dyDescent="0.25">
      <c r="A68" t="s">
        <v>399</v>
      </c>
      <c r="B68" t="s">
        <v>104</v>
      </c>
      <c r="C68" t="s">
        <v>425</v>
      </c>
      <c r="D68" t="s">
        <v>429</v>
      </c>
    </row>
    <row r="69" spans="1:4" x14ac:dyDescent="0.25">
      <c r="A69" t="s">
        <v>114</v>
      </c>
      <c r="B69" t="s">
        <v>104</v>
      </c>
      <c r="C69" t="s">
        <v>414</v>
      </c>
      <c r="D69" t="s">
        <v>432</v>
      </c>
    </row>
    <row r="70" spans="1:4" x14ac:dyDescent="0.25">
      <c r="A70" t="s">
        <v>115</v>
      </c>
      <c r="B70" t="s">
        <v>104</v>
      </c>
      <c r="C70" t="s">
        <v>415</v>
      </c>
      <c r="D70" t="s">
        <v>435</v>
      </c>
    </row>
    <row r="71" spans="1:4" x14ac:dyDescent="0.25">
      <c r="A71" t="s">
        <v>241</v>
      </c>
      <c r="B71" t="s">
        <v>104</v>
      </c>
      <c r="C71" t="s">
        <v>416</v>
      </c>
      <c r="D71" t="s">
        <v>438</v>
      </c>
    </row>
    <row r="72" spans="1:4" x14ac:dyDescent="0.25">
      <c r="A72" t="s">
        <v>285</v>
      </c>
      <c r="B72" t="s">
        <v>104</v>
      </c>
      <c r="C72" t="s">
        <v>417</v>
      </c>
      <c r="D72" t="s">
        <v>440</v>
      </c>
    </row>
    <row r="73" spans="1:4" x14ac:dyDescent="0.25">
      <c r="A73" t="s">
        <v>298</v>
      </c>
      <c r="B73" t="s">
        <v>104</v>
      </c>
      <c r="C73" t="s">
        <v>418</v>
      </c>
      <c r="D73" t="s">
        <v>442</v>
      </c>
    </row>
    <row r="74" spans="1:4" x14ac:dyDescent="0.25">
      <c r="A74" t="s">
        <v>318</v>
      </c>
      <c r="B74" t="s">
        <v>104</v>
      </c>
      <c r="C74" t="s">
        <v>419</v>
      </c>
      <c r="D74" t="s">
        <v>445</v>
      </c>
    </row>
    <row r="75" spans="1:4" x14ac:dyDescent="0.25">
      <c r="A75" t="s">
        <v>328</v>
      </c>
      <c r="B75" t="s">
        <v>104</v>
      </c>
      <c r="C75" t="s">
        <v>420</v>
      </c>
      <c r="D75" t="s">
        <v>448</v>
      </c>
    </row>
    <row r="76" spans="1:4" x14ac:dyDescent="0.25">
      <c r="A76" t="s">
        <v>343</v>
      </c>
      <c r="B76" t="s">
        <v>104</v>
      </c>
      <c r="C76" t="s">
        <v>421</v>
      </c>
      <c r="D76" t="s">
        <v>451</v>
      </c>
    </row>
    <row r="77" spans="1:4" x14ac:dyDescent="0.25">
      <c r="A77" t="s">
        <v>356</v>
      </c>
      <c r="B77" t="s">
        <v>104</v>
      </c>
      <c r="C77" t="s">
        <v>422</v>
      </c>
      <c r="D77" t="s">
        <v>451</v>
      </c>
    </row>
    <row r="78" spans="1:4" x14ac:dyDescent="0.25">
      <c r="A78" t="s">
        <v>369</v>
      </c>
      <c r="B78" t="s">
        <v>104</v>
      </c>
      <c r="C78" t="s">
        <v>423</v>
      </c>
      <c r="D78" t="s">
        <v>453</v>
      </c>
    </row>
    <row r="79" spans="1:4" x14ac:dyDescent="0.25">
      <c r="A79" t="s">
        <v>382</v>
      </c>
      <c r="B79" t="s">
        <v>104</v>
      </c>
      <c r="C79" t="s">
        <v>423</v>
      </c>
      <c r="D79" t="s">
        <v>456</v>
      </c>
    </row>
    <row r="80" spans="1:4" x14ac:dyDescent="0.25">
      <c r="A80" t="s">
        <v>386</v>
      </c>
      <c r="B80" t="s">
        <v>104</v>
      </c>
      <c r="C80" t="s">
        <v>424</v>
      </c>
    </row>
    <row r="81" spans="1:3" x14ac:dyDescent="0.25">
      <c r="A81" t="s">
        <v>399</v>
      </c>
      <c r="B81" t="s">
        <v>104</v>
      </c>
      <c r="C81" t="s">
        <v>425</v>
      </c>
    </row>
  </sheetData>
  <autoFilter ref="A1:D81" xr:uid="{E1F9247C-F9E3-4784-8032-15D25FECBA1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standardized_list</vt:lpstr>
      <vt:lpstr>query_df_final</vt:lpstr>
      <vt:lpstr>2023</vt:lpstr>
      <vt:lpstr>2024</vt:lpstr>
      <vt:lpstr>TestFramework</vt:lpstr>
    </vt:vector>
  </TitlesOfParts>
  <Manager/>
  <Company>GNS Science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Celia Wells</dc:creator>
  <cp:keywords/>
  <dc:description/>
  <cp:lastModifiedBy>Quyen Nguyen</cp:lastModifiedBy>
  <cp:revision/>
  <dcterms:created xsi:type="dcterms:W3CDTF">2023-01-05T07:03:49Z</dcterms:created>
  <dcterms:modified xsi:type="dcterms:W3CDTF">2024-05-28T05:31:14Z</dcterms:modified>
  <cp:category/>
  <cp:contentStatus/>
</cp:coreProperties>
</file>