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nzies-my.sharepoint.com/personal/quyen_nguyen_earthsciences_nz/Documents/Offline_work/2_GNS/19_LLM_ClimateRisk2026/4-Github2026_LLM/LLM_climaterisk_2026/03_benchmark_rag_results_newquestion/"/>
    </mc:Choice>
  </mc:AlternateContent>
  <xr:revisionPtr revIDLastSave="744" documentId="13_ncr:1_{EB7003A9-2733-4F2D-8E34-6CCA0D5B6404}" xr6:coauthVersionLast="47" xr6:coauthVersionMax="47" xr10:uidLastSave="{84F6BFA2-24B2-49FA-A7BE-3CEE61CDA817}"/>
  <bookViews>
    <workbookView xWindow="-28920" yWindow="-120" windowWidth="29040" windowHeight="15720" firstSheet="3" activeTab="3" xr2:uid="{DF7F727A-DA3F-4A30-8863-1A8FC5AB9C8C}"/>
  </bookViews>
  <sheets>
    <sheet name="2023" sheetId="1" state="hidden" r:id="rId1"/>
    <sheet name="2024" sheetId="2" state="hidden" r:id="rId2"/>
    <sheet name="NewTest" sheetId="6" state="hidden" r:id="rId3"/>
    <sheet name="NewTest_sentFlorent" sheetId="7" r:id="rId4"/>
    <sheet name="Sheet1" sheetId="4" state="hidden" r:id="rId5"/>
    <sheet name="TestFramework" sheetId="3" state="hidden" r:id="rId6"/>
  </sheets>
  <definedNames>
    <definedName name="_xlnm._FilterDatabase" localSheetId="1" hidden="1">'2024'!$A$3:$L$42</definedName>
    <definedName name="_xlnm._FilterDatabase" localSheetId="3" hidden="1">NewTest_sentFlorent!$A$2:$T$2</definedName>
    <definedName name="_xlnm._FilterDatabase" localSheetId="5" hidden="1">TestFramework!$A$1:$D$81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0" i="7" l="1"/>
  <c r="S30" i="7"/>
  <c r="R30" i="7"/>
  <c r="Q30" i="7"/>
  <c r="P30" i="7"/>
  <c r="O30" i="7"/>
  <c r="N30" i="7"/>
  <c r="M30" i="7"/>
  <c r="L30" i="7"/>
  <c r="K30" i="7"/>
  <c r="J30" i="7"/>
  <c r="I30" i="7"/>
  <c r="H30" i="7"/>
  <c r="G30" i="7"/>
  <c r="F30" i="7"/>
  <c r="T29" i="7"/>
  <c r="S29" i="7"/>
  <c r="R29" i="7"/>
  <c r="Q29" i="7"/>
  <c r="P29" i="7"/>
  <c r="O29" i="7"/>
  <c r="N29" i="7"/>
  <c r="M29" i="7"/>
  <c r="L29" i="7"/>
  <c r="K29" i="7"/>
  <c r="J29" i="7"/>
  <c r="I29" i="7"/>
  <c r="H29" i="7"/>
  <c r="G29" i="7"/>
  <c r="F29" i="7"/>
  <c r="B11" i="4"/>
  <c r="B12" i="4" s="1"/>
  <c r="B13" i="4" s="1"/>
  <c r="B14" i="4" s="1"/>
  <c r="B15" i="4" s="1"/>
  <c r="B16" i="4" s="1"/>
  <c r="B17" i="4" s="1"/>
  <c r="B18" i="4" s="1"/>
  <c r="B20" i="4" s="1"/>
  <c r="B21" i="4" s="1"/>
  <c r="B22" i="4" s="1"/>
  <c r="B23" i="4" s="1"/>
  <c r="B19" i="4" s="1"/>
  <c r="B24" i="4" s="1"/>
  <c r="B25" i="4" s="1"/>
  <c r="B26" i="4" s="1"/>
  <c r="B27" i="4" s="1"/>
  <c r="B28" i="4" s="1"/>
  <c r="B29" i="4" s="1"/>
  <c r="B30" i="4" s="1"/>
  <c r="B31" i="4" s="1"/>
  <c r="B32" i="4" s="1"/>
  <c r="B33" i="4" s="1"/>
  <c r="B34" i="4" s="1"/>
  <c r="B35" i="4" s="1"/>
  <c r="B36" i="4" s="1"/>
  <c r="B37" i="4" s="1"/>
  <c r="B38" i="4" s="1"/>
  <c r="B39" i="4" s="1"/>
  <c r="B40" i="4" s="1"/>
  <c r="B41" i="4" s="1"/>
  <c r="B6" i="4"/>
  <c r="J1" i="2"/>
  <c r="B12" i="2"/>
  <c r="B13" i="2" s="1"/>
  <c r="B14" i="2" s="1"/>
  <c r="B15" i="2" s="1"/>
  <c r="B16" i="2" s="1"/>
  <c r="B17" i="2" s="1"/>
  <c r="B18" i="2" s="1"/>
  <c r="B19" i="2" s="1"/>
  <c r="B21" i="2" s="1"/>
  <c r="B22" i="2" s="1"/>
  <c r="B7" i="2"/>
  <c r="B23" i="2" l="1"/>
  <c r="B24" i="2" s="1"/>
  <c r="B20" i="2" s="1"/>
  <c r="B25" i="2" s="1"/>
  <c r="B26" i="2" s="1"/>
  <c r="B27" i="2" s="1"/>
  <c r="B28" i="2" s="1"/>
  <c r="B29" i="2" s="1"/>
  <c r="B30" i="2" s="1"/>
  <c r="B31" i="2" s="1"/>
  <c r="B32" i="2" s="1"/>
  <c r="B33" i="2" s="1"/>
  <c r="B34" i="2" s="1"/>
  <c r="B35" i="2" s="1"/>
  <c r="B36" i="2" s="1"/>
  <c r="B37" i="2" s="1"/>
  <c r="B38" i="2" s="1"/>
  <c r="B39" i="2" s="1"/>
  <c r="B40" i="2" s="1"/>
  <c r="B41" i="2" s="1"/>
  <c r="B4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tc={F0F8A2D6-0AA2-4B5F-8EF5-B8FA4D297744}</author>
    <author>tc={EB0723A6-4807-406C-B3C4-B9F2F86A1E03}</author>
  </authors>
  <commentList>
    <comment ref="U3" authorId="0" shapeId="0" xr:uid="{F0F8A2D6-0AA2-4B5F-8EF5-B8FA4D297744}">
      <text>
        <t>[Threaded comment]
Your version of Excel allows you to read this threaded comment; however, any edits to it will get removed if the file is opened in a newer version of Excel. Learn more: https://go.microsoft.com/fwlink/?linkid=870924
Comment:
    Test with chatGPT</t>
      </text>
    </comment>
    <comment ref="V3" authorId="1" shapeId="0" xr:uid="{EB0723A6-4807-406C-B3C4-B9F2F86A1E03}">
      <text>
        <t>[Threaded comment]
Your version of Excel allows you to read this threaded comment; however, any edits to it will get removed if the file is opened in a newer version of Excel. Learn more: https://go.microsoft.com/fwlink/?linkid=870924
Comment:
    Test with chatGPT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tc={1F7631DB-4684-4B79-933A-9C53A1D6E944}</author>
  </authors>
  <commentList>
    <comment ref="Q2" authorId="0" shapeId="0" xr:uid="{1F7631DB-4684-4B79-933A-9C53A1D6E944}">
      <text>
        <t xml:space="preserve">[Threaded comment]
Your version of Excel allows you to read this threaded comment; however, any edits to it will get removed if the file is opened in a newer version of Excel. Learn more: https://go.microsoft.com/fwlink/?linkid=870924
Comment:
    Does the document describe historical or already-observed impacts from physical climate hazards on the entity, its assets, operations, finances, customers, suppliers, or value chain?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tc={FE2D54C8-8C86-488D-9D98-0AEA69C65122}</author>
  </authors>
  <commentList>
    <comment ref="S2" authorId="0" shapeId="0" xr:uid="{FE2D54C8-8C86-488D-9D98-0AEA69C65122}">
      <text>
        <t xml:space="preserve">[Threaded comment]
Your version of Excel allows you to read this threaded comment; however, any edits to it will get removed if the file is opened in a newer version of Excel. Learn more: https://go.microsoft.com/fwlink/?linkid=870924
Comment:
    Does the document describe historical or already-observed impacts from physical climate hazards on the entity, its assets, operations, finances, customers, suppliers, or value chain?
</t>
      </text>
    </comment>
  </commentList>
</comments>
</file>

<file path=xl/sharedStrings.xml><?xml version="1.0" encoding="utf-8"?>
<sst xmlns="http://schemas.openxmlformats.org/spreadsheetml/2006/main" count="2106" uniqueCount="766">
  <si>
    <t xml:space="preserve">NZ Super Fund </t>
  </si>
  <si>
    <t>BNZ</t>
  </si>
  <si>
    <t>ASB</t>
  </si>
  <si>
    <t xml:space="preserve">IAG Insurance </t>
  </si>
  <si>
    <t>Auckland Airport</t>
  </si>
  <si>
    <t xml:space="preserve">Zespri </t>
  </si>
  <si>
    <t xml:space="preserve">Port of Tauranga </t>
  </si>
  <si>
    <t xml:space="preserve">Contact Energy </t>
  </si>
  <si>
    <t>Scenario team (data provider, and model  (local or global) used)</t>
  </si>
  <si>
    <t xml:space="preserve">Centre for Sustainable Finance </t>
  </si>
  <si>
    <t xml:space="preserve">The draft Insurance Council of New Zealand (ICNZ) Shared Climate Scenarios for the Insurance Sector </t>
  </si>
  <si>
    <t>Not evident.</t>
  </si>
  <si>
    <t>Agri-adaptation Roadmap</t>
  </si>
  <si>
    <t xml:space="preserve">Not evident. </t>
  </si>
  <si>
    <r>
      <rPr>
        <b/>
        <sz val="11"/>
        <color rgb="FF000000"/>
        <rFont val="Calibri"/>
        <scheme val="minor"/>
      </rPr>
      <t>Scenario terms (</t>
    </r>
    <r>
      <rPr>
        <b/>
        <sz val="11"/>
        <color rgb="FFFF0000"/>
        <rFont val="Calibri"/>
        <scheme val="minor"/>
      </rPr>
      <t>often differs for transitional and</t>
    </r>
    <r>
      <rPr>
        <b/>
        <sz val="11"/>
        <color rgb="FF000000"/>
        <rFont val="Calibri"/>
        <scheme val="minor"/>
      </rPr>
      <t xml:space="preserve"> physical risks)</t>
    </r>
  </si>
  <si>
    <t>2°, 3° and 4° scenarios. Defined as "Average" and "Aggressive" for physical risks</t>
  </si>
  <si>
    <t>1.5°  scenario and a high-end 4°  scenario</t>
  </si>
  <si>
    <t>RCP 4.5 and RCP 8.5</t>
  </si>
  <si>
    <t>Orderly (RCP2.6, +1.5°C), Disorderly (RCP4.5, +2°C), Hothouse (RCP6.0, +3°C)</t>
  </si>
  <si>
    <t>RCP 2.6, RCP 4.5, RCP 8.5</t>
  </si>
  <si>
    <t>Moderate’ 2°C scenario (RCP 4.5) and ‘High’ 4°C scenario (RCP 8.5)</t>
  </si>
  <si>
    <t>Scenario 1: The world maintains an increase of 1.5°C, Scenario 2: holding an increase between 2°C and 4°C, Scenario 3: increase goes beyond 4°C. But also RCP 8.5 and RCP 2.5 for physical risk assessment done by NIWA</t>
  </si>
  <si>
    <t>What are the sorts of scenerioes they are using</t>
  </si>
  <si>
    <t>Time frames</t>
  </si>
  <si>
    <t>Present, 2050 and 2100 "where possible"</t>
  </si>
  <si>
    <t>2030 and 2055</t>
  </si>
  <si>
    <t xml:space="preserve">2020-2030, 2035-2065, 2081-2100. </t>
  </si>
  <si>
    <t>Present, 2050, 2070</t>
  </si>
  <si>
    <t xml:space="preserve">Short term 1-5 years, Medium term 5-10 years, Long term 10-30 years. </t>
  </si>
  <si>
    <t xml:space="preserve">Medium to long term (30-80 year) </t>
  </si>
  <si>
    <t>Short term, Medium term (2021-2035), Long term (2035 onwards)</t>
  </si>
  <si>
    <t xml:space="preserve">Physical risks listed </t>
  </si>
  <si>
    <t>Extreme weather events, rising sea levls and changing weather (IPCC AR5)</t>
  </si>
  <si>
    <t xml:space="preserve">SLR and "extreme coastal inundation" </t>
  </si>
  <si>
    <t xml:space="preserve">Drought, heat stress and flooding. </t>
  </si>
  <si>
    <t xml:space="preserve">SLR and coastal inundation, flooding and storm damage, extreme wildfire. </t>
  </si>
  <si>
    <t xml:space="preserve">Physical inundation and flooding of assets due to sea-level rise, increased frequency and intensity of storm and rainfall events, variable wind patterns, decreased rainfall, rising mean temperatures. </t>
  </si>
  <si>
    <t>Extreme weather events, SLR, biosecurity incursions from invasive pests and pathogens from changing climate conditions</t>
  </si>
  <si>
    <t xml:space="preserve">Temperature increases, access to natural resource changes, intensity of storms. </t>
  </si>
  <si>
    <r>
      <rPr>
        <sz val="11"/>
        <color rgb="FF000000"/>
        <rFont val="Calibri"/>
        <scheme val="minor"/>
      </rPr>
      <t xml:space="preserve">divide up to figure out who is consulting on </t>
    </r>
    <r>
      <rPr>
        <i/>
        <sz val="11"/>
        <color rgb="FF000000"/>
        <rFont val="Calibri"/>
        <scheme val="minor"/>
      </rPr>
      <t>what</t>
    </r>
    <r>
      <rPr>
        <sz val="11"/>
        <color rgb="FF000000"/>
        <rFont val="Calibri"/>
        <scheme val="minor"/>
      </rPr>
      <t xml:space="preserve"> risk</t>
    </r>
  </si>
  <si>
    <t>CRI used</t>
  </si>
  <si>
    <t>NIWA</t>
  </si>
  <si>
    <t>Not evident</t>
  </si>
  <si>
    <t xml:space="preserve">NIWA </t>
  </si>
  <si>
    <t xml:space="preserve">Consulting firm used </t>
  </si>
  <si>
    <t>EY (plus XDI Cross Dependency Initiatives and Climate Valuation)</t>
  </si>
  <si>
    <t>EY and Climateworks Australia</t>
  </si>
  <si>
    <t>KPMG</t>
  </si>
  <si>
    <t xml:space="preserve">Acute or chronic </t>
  </si>
  <si>
    <t xml:space="preserve">Data sets listed </t>
  </si>
  <si>
    <t xml:space="preserve">IPCC AR5, Network for Greening the Financial System (NGFS), MSCI, Climate Change Comission. </t>
  </si>
  <si>
    <t>Deep South Challenge, SSP1-1.9 and SSP5-8.5. CCC, MFE and MBIE references cited.</t>
  </si>
  <si>
    <t>Manaaki Whenua, NIWA, LINZ, JBA Risk Management, CLIMsystems.</t>
  </si>
  <si>
    <t>IPCC</t>
  </si>
  <si>
    <t>IPCC AR5</t>
  </si>
  <si>
    <t xml:space="preserve">Climate Change Commission’s scenarios and Transpower’s Whakamana i Te Mauri Hiko </t>
  </si>
  <si>
    <t xml:space="preserve">Finacials </t>
  </si>
  <si>
    <t>Implied - "In the worst-case scenario (2oC, late action, aggressive physical risk), value
is expected to decrease by 12.7%."</t>
  </si>
  <si>
    <t>Detailed for the risks assessed, e.g. $38,125m for residential properties</t>
  </si>
  <si>
    <t>Graphs modelling costs in different scenaios. Percentages of portfolio exposed rather than exact figures e.g. 2.3% of ASB properties exposed to inland flooding.</t>
  </si>
  <si>
    <t>"Under the three scenarios we might
expect an increase in our weather-related peril Annual Average Loss (AAL) of
between 26% and 34% by 2050, in FY22 dollars." "Home insurance in Australia can increase up to 23% in a +2°C scenario, and up to 43% in a +3°C scenario"</t>
  </si>
  <si>
    <t>No</t>
  </si>
  <si>
    <t>The scenarios were assessed against publicly available data and insights provided through interviews and surveys with key stakeholders</t>
  </si>
  <si>
    <t>The modelling shows that under all three scenarios Contact’s sales, generation and EBITDAF1 continue to grow. Contact’s sales, generation and EBITDAF grow the most in Scenario 1, while Scenario 3 shows the lowest growth.</t>
  </si>
  <si>
    <t xml:space="preserve">is it quantative or qualative </t>
  </si>
  <si>
    <t xml:space="preserve">Comprehensive </t>
  </si>
  <si>
    <t>Next steps</t>
  </si>
  <si>
    <t>We are dedicated to a continued focus and evolution in our approach as better data and best practice emerge … continuing to develop a view of how specific industries will need to evolve in response to climate change -  particularly agriculture and forestry assets.</t>
  </si>
  <si>
    <t>We expect to continue to monitor and analyse the physical risks that may be material to our business and expect to expand our analysis to address additional physical risks, including drought and flood risk, in future reports.</t>
  </si>
  <si>
    <t xml:space="preserve">We are building our ability to understand climate risk, including through investing in specialist skills and acquiring third-party data to help us analyse physical climate risk at a more granular level. A focus in FY23 is beginning to integrate this into business practices and processes to enhance how we measure, manage and report climate risk exposures. As the result of this work, we expect analysis in this report will be superseded. 
As climate science progresses and higher quality data becomes available, we aim to include up-to-date projections of physical climate impacts on New Zealand. </t>
  </si>
  <si>
    <t xml:space="preserve">IAG intends to work with the New Zealand scientific and engineering community to ensure our future models are refined to reflect the growing science in these areas. For example, Ex-Tropical cyclones are possibly well underestimated in the historical loss record and wildfires have only just started to emerge in recent years. Sea level rise is not captured explicitly in the modelling, except for estuarine areas as part of riverine flooding. The combined effects of wind with water are not well understood and there may be significant non-linear increases in damage under future-climate scenarios where heavier rainfall and stronger winds are likely to occur concurrently. </t>
  </si>
  <si>
    <t xml:space="preserve">To enable Auckland Airport to better understand our resilience as a business to climate change, we intend to advance our climate scenario analysis incorporating both transition risk and physical climate change modelling. These scenarios are not intended to predict the future but rather explore possible futures against which to test our business strategy. </t>
  </si>
  <si>
    <t>Climate change adaptation is key to
our aspiration of delivering long-term
value for our investors through leading
environmental and ethical performance,
business resilience and sound financial
management</t>
  </si>
  <si>
    <t xml:space="preserve">Finacial impact certainity </t>
  </si>
  <si>
    <t>Is there a range? Error bar? Or a singal number?</t>
  </si>
  <si>
    <t>are they disclosuring/measuring direct or indirect loss?</t>
  </si>
  <si>
    <t xml:space="preserve">Transition risk? </t>
  </si>
  <si>
    <t>April 2024 Updated Framework</t>
  </si>
  <si>
    <t>Q. Do we want to include transition risk?</t>
  </si>
  <si>
    <t>EXAMPLES</t>
  </si>
  <si>
    <t>Variable Type</t>
  </si>
  <si>
    <t>Desired Data</t>
  </si>
  <si>
    <t>Nice to have /must have</t>
  </si>
  <si>
    <t>Qualitative/manual search, I'm uncertain if these can be collated via AI (?)</t>
  </si>
  <si>
    <t xml:space="preserve">Details </t>
  </si>
  <si>
    <t xml:space="preserve">Present or absent? </t>
  </si>
  <si>
    <t>Example in text (key words)</t>
  </si>
  <si>
    <t>Relation to FMA 2023 Guidance?</t>
  </si>
  <si>
    <t xml:space="preserve">Briscoes Group </t>
  </si>
  <si>
    <t>Z Energy</t>
  </si>
  <si>
    <t>PFI (Property for industry limited)</t>
  </si>
  <si>
    <t>AIA</t>
  </si>
  <si>
    <t>CitiBank</t>
  </si>
  <si>
    <t>RaboBank NZ Banking Group (Core Banking Group)</t>
  </si>
  <si>
    <t>Ventia</t>
  </si>
  <si>
    <t>Vista Group</t>
  </si>
  <si>
    <t xml:space="preserve">Chubb </t>
  </si>
  <si>
    <t>CDI</t>
  </si>
  <si>
    <t>MCK( Millennium &amp; Copthorne Hotels New
Zealand Limited) (very similar to CDIO</t>
  </si>
  <si>
    <t>NZME</t>
  </si>
  <si>
    <t>Channel</t>
  </si>
  <si>
    <t>Consumer</t>
  </si>
  <si>
    <t>Energy</t>
  </si>
  <si>
    <t>Property</t>
  </si>
  <si>
    <t>Insurance</t>
  </si>
  <si>
    <t>Bank</t>
  </si>
  <si>
    <t>Infrastructure Services</t>
  </si>
  <si>
    <t>Software and Data Analytics</t>
  </si>
  <si>
    <t>Real Estate</t>
  </si>
  <si>
    <t>Hotel Management</t>
  </si>
  <si>
    <t>Media</t>
  </si>
  <si>
    <t>Infrastructure</t>
  </si>
  <si>
    <t>Generic document variables</t>
  </si>
  <si>
    <t>Length of document</t>
  </si>
  <si>
    <t>Nice to have</t>
  </si>
  <si>
    <t>Yes - text scraping</t>
  </si>
  <si>
    <t>Word counts/ Page counts/ Length of document</t>
  </si>
  <si>
    <t>NA</t>
  </si>
  <si>
    <t>page 23-29 (6 pages)</t>
  </si>
  <si>
    <t>43 pages</t>
  </si>
  <si>
    <t>34 pages</t>
  </si>
  <si>
    <t>23 pages</t>
  </si>
  <si>
    <t>51 pages</t>
  </si>
  <si>
    <t>39 pages</t>
  </si>
  <si>
    <t>11 pages</t>
  </si>
  <si>
    <t>31 pages</t>
  </si>
  <si>
    <t>12 pages</t>
  </si>
  <si>
    <t>10 pages</t>
  </si>
  <si>
    <t>15 pages</t>
  </si>
  <si>
    <t>125 pages</t>
  </si>
  <si>
    <t>Separate document / include in Annual report</t>
  </si>
  <si>
    <t>Is the climate risk disclosure issued as a separate statement or included in financial report?</t>
  </si>
  <si>
    <t>Combined with annual report</t>
  </si>
  <si>
    <t>Separate climate statement</t>
  </si>
  <si>
    <t>Combined with sustainability report</t>
  </si>
  <si>
    <t>Combined with Annual Report</t>
  </si>
  <si>
    <t>Combined in Sustainable Report (integrated deeply)</t>
  </si>
  <si>
    <t>Overall document sentiment</t>
  </si>
  <si>
    <t>Is the overall discussion about climate risk neutral/ negative / positve ?  (count number of sentimental words)</t>
  </si>
  <si>
    <t>Neutral</t>
  </si>
  <si>
    <t>Positive</t>
  </si>
  <si>
    <t>The discussion about climate risks in the NZME Annual Report 2023 primarily presents a neutral to positive outlook, focusing on the actions the company is taking to mitigate climate risks and capitalize on related opportunities</t>
  </si>
  <si>
    <t>Overall climate impact</t>
  </si>
  <si>
    <t>Must have</t>
  </si>
  <si>
    <t>LLM</t>
  </si>
  <si>
    <t>Is climate risk expected to have a significant impact on the company's top line or bottom lien?</t>
  </si>
  <si>
    <t xml:space="preserve">Although we have started to feel the transitional impacts of climate change on our business relating to increased legislation
(specifically the newly introduced NZ Climate related disclosures) and have seen an increase in insurance premiums off the
back of climate-related events occurring in NZ, we have been fortunate that the physical impacts experienced by our business
have not significantly impacted operations. </t>
  </si>
  <si>
    <t xml:space="preserve">It was noted that in most cases the RCP climate impact modelled scenarios do not deviate significantly in terms of effects until after 2040. This was followed by a financial impact assessment of potential climate-related
physical risks, such as potential damage costs as a result of the main climate indicators applied in the physical risk assessment. The costs of extreme weather across Z’s assets was also considered at this point. Z’s assessment will continue to focus on cascading risks, such as landslips caused by wet weather events, to better understand potential disruptions to the supply of fuel products from ports, terminals, and retail sites. This supply chain disruption is likely to present the more material financial risk to Z.
The financial assessment concluded that damage to assets is estimated to be minimal out to 2040, with operational disruption due to the impacts of climate change likely to be more significant.  </t>
  </si>
  <si>
    <t xml:space="preserve">PFI recognises that we need to proactively manage the risks and opportunities that arise from climate change, just as we manage other risks and opportunities facing our business. Since 2020, PFI has prepared voluntary climate-related disclosures aligning with the recommendations of the Task Force on Climate-related Financial Disclosures (TCFD). During that time, we have built a solid understanding of the climate-related risks and opportunities faced by the business and applied this understanding to PFI’s strategy. </t>
  </si>
  <si>
    <t>Our scenario analysis highlights that over the long-term, the physical risks of
climate change are likely to increase. In contrast, there may be benefits from an
uplift in population health with a transition to a low carbon economy. Intergovernmental Panel on Climate Change (IPCC)’s Sixth Assessment Report
suggests that New Zealand will be less directly impacted by physical climate change
than most countries. However, local extreme weather events and the challenges of
managed retreat may impact on our operations and customers over the longer term.
We also expect global effects such as the increasing incidence of disease, pandemic
risk and socioeconomic pressures to have a flow-on impact to the New Zealand
population and economy as well as our investment portfolio. Despite anticipated long-term benefits from transition to a low-carbon economy,
during the period of transformation we expect impacts on investment markets as well
as the finances and mental health of our customers, particularly if transition is abrupt
with less time for industries and individuals to adapt to the changes</t>
  </si>
  <si>
    <t>Climate change is complex and the food and agirculture sectors are all at different stages of the transition towards acceptance and response. Notwithstanding, we believe that NZ can achieve an appropriate balance between strong economy, food security, reducing emissions from agricultural actiivity and protecting health, wellbeing and vitality of rural communities</t>
  </si>
  <si>
    <t>The climate risk disclosure in the NZME Annual Report 2023 does not explicitly state that climate risks will have a significant impact on the company's top line (revenue) or bottom line (net income). Instead, the discussion focuses on the qualitative aspects of how climate-related factors could influence business operations, emphasizing preparedness and strategic responses to manage these risks.</t>
  </si>
  <si>
    <t>Overall quantitative/ qualitative</t>
  </si>
  <si>
    <t>Text scraping</t>
  </si>
  <si>
    <t>Is the overall discussion in the document qualitative / quantitative (%) / financially quantitative ($)? (check number of digits / dollar sign in the documents )</t>
  </si>
  <si>
    <t>Qualitative</t>
  </si>
  <si>
    <t>Qualitative: 
"Conducted qualitative assessment of the resilience of Z’s business model and strategy against three climate scenarios. This was a stand-alone process from
Z’s wider strategy development. Quantitative modeling was not undertaken."</t>
  </si>
  <si>
    <t>Quantitative:  PFI has already begun to experience physical and transitional impacts of some climate-related risks and opportunities
-  NIWA’s extreme sea level flood maps (1%AEP and up to 2m sea-level rise) for Aotearoa5 and local Council hazard maps.
 - S&amp;P Global Climanomics platform (a science-backed climate risk analytics platform that measures the financial risk of a range of climate hazards to physical assets)</t>
  </si>
  <si>
    <t xml:space="preserve">Qualititative scenario analysis </t>
  </si>
  <si>
    <t>Quantitative Exposure analysis</t>
  </si>
  <si>
    <t xml:space="preserve">Quantitaiitve Scenario </t>
  </si>
  <si>
    <t>As 2023 is our base year, our scenario analysis was done on a basic level internally, is a narrative-driven analysis but not fully detailed</t>
  </si>
  <si>
    <t>As 2023 is our base year, our scenario
analysis was done on a basic level
internally, is a narrative-driven analysis
but not fully detailed</t>
  </si>
  <si>
    <t>Primary qualittative, quantitative elements expressed in percentages rather than dollar amounts</t>
  </si>
  <si>
    <t>Comprehensiveness</t>
  </si>
  <si>
    <t>In general, does the document show comprehensiveness in analysis? (rank from 1 to 5)</t>
  </si>
  <si>
    <t>2 -mostly bluff</t>
  </si>
  <si>
    <t>3 - neutral (look fancy but not really)</t>
  </si>
  <si>
    <t>Reference disclosure framework</t>
  </si>
  <si>
    <t>What is the climate disclosure framework that is used?</t>
  </si>
  <si>
    <t>TCFD/ IFRS/SASB/ NZ FMA Standard</t>
  </si>
  <si>
    <t>Not mentioned</t>
  </si>
  <si>
    <t>TCFD framework</t>
  </si>
  <si>
    <t xml:space="preserve">TCFD framework form 2020. </t>
  </si>
  <si>
    <t xml:space="preserve">NZ Climate Standard </t>
  </si>
  <si>
    <t xml:space="preserve">NZ Climate Standard (maybe different from SEC Standard), should be read in conjuction with 2023 Citi Climate Report </t>
  </si>
  <si>
    <t>NZ Climate Standard / TCFD Requiremenst</t>
  </si>
  <si>
    <t>While this is Vista Group’s second climaterelated
disclosures report, this is our first year
reporting in accordance with Aotearoa New
Zealand Climate Standards (NZ CS)</t>
  </si>
  <si>
    <t>TCFD Framework/ NZ Climate Standards</t>
  </si>
  <si>
    <t>NZ Climate Standards</t>
  </si>
  <si>
    <t>Adoption Provision related to Physical Risks</t>
  </si>
  <si>
    <t>Adoption provision 1:
Current financial impacts</t>
  </si>
  <si>
    <t>Text scraping/LLM</t>
  </si>
  <si>
    <t>This adoption provision provides an exemption from disclosing the current financial impacts of the physical and transition impacts identified and from disclosing an explanation of why we are unable to disclose this information.</t>
  </si>
  <si>
    <t>Yes/no</t>
  </si>
  <si>
    <t>Yes</t>
  </si>
  <si>
    <t>Adoption provision 2:
Anticipated financial impacts</t>
  </si>
  <si>
    <t>This adoption provision provides an exemption from disclosing the anticipated financial impacts of climate-related risks and opportunities reasonably expected by the entity and from disclosing an explanation of why we are unable to disclose this information. It also provides an exemption from disclosing a description of the time horizons over which the anticipated financial impacts of climate related risks and opportunities could reasonably be expected to occur.</t>
  </si>
  <si>
    <t xml:space="preserve">Scenarios Variables </t>
  </si>
  <si>
    <t>List of scenarios</t>
  </si>
  <si>
    <t>Provide the list of all climate scenarios/ pathways that have been used (especially the 3rd optional scenario)</t>
  </si>
  <si>
    <t>Usually in sets of 3 (RCP2.6 RCP 4.5, RCP 8.5)</t>
  </si>
  <si>
    <r>
      <t xml:space="preserve">Pg. 30. </t>
    </r>
    <r>
      <rPr>
        <i/>
        <sz val="12"/>
        <rFont val="Calibri"/>
        <family val="2"/>
        <scheme val="minor"/>
      </rPr>
      <t>Methods and Assumptions.</t>
    </r>
    <r>
      <rPr>
        <sz val="12"/>
        <rFont val="Calibri"/>
        <family val="2"/>
        <scheme val="minor"/>
      </rPr>
      <t xml:space="preserve"> Substantiate that the climate-related scenarios are based on credible information. </t>
    </r>
  </si>
  <si>
    <t>Net Zero 2050 (Orderly)
Delayed Transition
(Disorderly Category)
Current Policies (Hot
House World Category)</t>
  </si>
  <si>
    <t>Green Road (Net Zero 2050 orderly transition that limits global warming to 1.5°C) 
Road Block (Delayed, disorderly transition that limits global warming to below 2°C) 
Hot House (Current policies)</t>
  </si>
  <si>
    <t xml:space="preserve">a 1.5°C ‘Orderly’ scenario (Alignment with SSP1-1.9 and RCP2.6) 
a less than 2°C ‘Disorderly’ scenario (Alignment with SSP1-2.6 and RCP2.6) 
a greater than 3°C ‘Hot House World’ scenario (Alignment with SSP3-7.0 and RCP8.5) </t>
  </si>
  <si>
    <t>Net-zero 2050 (orderly) 
Delayed transition (disorderly)
Current polciies (hothouse)</t>
  </si>
  <si>
    <t xml:space="preserve">1.5oC orderly scenario 
3oC hothouse world 
2-3oC too little too late scenarios </t>
  </si>
  <si>
    <t xml:space="preserve">1.5oC orderly scenario 
Disorderly 
Hothouse world </t>
  </si>
  <si>
    <t xml:space="preserve">Fast action (1.5oC future) 
Delayed rapid action 
Required action (2oC future) 
Current trajectory (&gt;3oC future) </t>
  </si>
  <si>
    <t xml:space="preserve">Net Zero 20250 (Orderly) 
Delayed Transtion (Disorderly) 
Current Policies (Hothouse) </t>
  </si>
  <si>
    <t>Orderly -1.5oC 
Too litltle too late (2oC )
Hothouse (3oC)</t>
  </si>
  <si>
    <t>Orderly - 1.5oC 
2oC Scenario (Disorderly) 
3oC scenario (Houthouse world)</t>
  </si>
  <si>
    <t>Deep decarbonization (SSP1-1.9 and RCP 2.6) 
Status quo scenario (SSP2-4.5 and RCP 4.5)
Carbon intensive scenario (SSP5-8.5 and RCP 8.5)</t>
  </si>
  <si>
    <t>Green (1.oC degree)  (Orderly) (SSP1)  (RCP 2.6)  (Tailwinds) 
Amber Middle degree scenario  (Disorderly)  (SSP2)  (RCP 4.5)  (Headwinds) 
Red &gt;3oC scenario (Hothouse)(SSP5)  (RCP 7.0)  (Current polcies)</t>
  </si>
  <si>
    <t>Global temperature outcome due to the scenarios by 2100</t>
  </si>
  <si>
    <t>Global temperature outcome due to the scenarios. Usually described as in a target by 2100, but sometimes could be mentioned / described as in now-2100 (for instance, temperature overshoot is the term used by IPCC to describe scenarios, or ‘pathways’, in which we exceed a specified global warming level – typically between 1.5 and 2°C – before returning to that level at some point in the future.)</t>
  </si>
  <si>
    <t>Usually temperature target is described throughout and as of 2100 (1.5°, 2°, 3°/4°)</t>
  </si>
  <si>
    <t xml:space="preserve">1.4oC by 2100 (limited to 1.6oC in 2050) 
1.6oC by 2100 (limited to 1.7oC in 2050) 
3oC by 2100 (2oC by 2050) </t>
  </si>
  <si>
    <t>1.5oC by 2100 
2oC by 2100 
Over 3oC</t>
  </si>
  <si>
    <t>1.5oC 
2oC 
Over 3oC</t>
  </si>
  <si>
    <t>1.5oC
1.8oC 
&gt;3oC</t>
  </si>
  <si>
    <t xml:space="preserve">Increase of global temperature by 2100 
* 1.5o C 
* 2.7oC 
* 4.4oC </t>
  </si>
  <si>
    <t xml:space="preserve">Increase of global temperature by 2100 
* 1.4o C
* 1.8oC 
* 4.4oC </t>
  </si>
  <si>
    <t xml:space="preserve">1.5oC 
2 
&gt;3oC </t>
  </si>
  <si>
    <t xml:space="preserve">&lt;1.5oC 
&lt;1.6oC 
&gt;3oC </t>
  </si>
  <si>
    <t>• Domestic: +0.7°C by 2100 (min
0.4, max 1.3)
• Global: +1.4° C by 2100 (min
1.0, max 1.8)
Domestic: +1.4°C by 2100 (min
0.7, max 2.2)
• Global: +2.7° C by 2100 (min
2.1, max 3.5)
Domestic: +3.0°C by 2100
(min 2.0, max 4.6)
• Global: +4.4° C by 2100 (min
3.3, max 5.7)</t>
  </si>
  <si>
    <t xml:space="preserve">1.4oC 
2.7oC 
4.4oC </t>
  </si>
  <si>
    <t xml:space="preserve">1.5oC 
2.6oC 
4.0oC </t>
  </si>
  <si>
    <t xml:space="preserve">Scenario provider                                           </t>
  </si>
  <si>
    <t>Is the scenario provider listed?</t>
  </si>
  <si>
    <t>NIWA, IPCC, Mfe, CCC, Journal article, Centre for Sustainable Finance, IPCC</t>
  </si>
  <si>
    <t>Network for Greening the Financial System (NGFS)</t>
  </si>
  <si>
    <t>Combined from the Business Energy Council (BEC) 2060 scenarios (Kea and Tūī), the United Nations Intergovernmental Panel on Climate Change (IPCC) representative concentration pathways (RCP2.6 and RCP4.5), the Climate Change Projections for New Zealand, second edition report from the Ministry for the Environment (MfE).
NGFS, IEA , IPCC, CCC Tailwinds, NIWA Climate Change projections for New Zealand</t>
  </si>
  <si>
    <t>PFI’s scenario analysis process involved using the climate scenarios constructed by the New Zealand Green Building Council (NZGBC) and Beca Limited (Beca) for the property and construction sector in 2023. Along with other key stakeholders within the industry, we are pleased to have been involved in overseeing the development of these sector scenarios as part of the Technical Working Group created by NZGBC in 2022.</t>
  </si>
  <si>
    <t>Mixed of scenarios: 
* NGFS Delayed transtiion (1.5oC)
* NGFS Net-zero 2050 (1.5oC)
* NGFS Current policies (3oC) 
NZ Phyiscal impact 
* NIWA RCP 2.6 
* NIWA RCP 2.6 
* NIWA RCP 8.5 
Global climate and socio-economic IPCC SSP Scenarios: 
* SSP1.-1.9, RCP 2.6
* SSP1-1.9, RCP 2.6 
* SSP5-8.5, RCP 8.5
Transition: Climate Change Commission  2021
* Tailwinds 
* Headwinds
* Current polcies reference</t>
  </si>
  <si>
    <t xml:space="preserve">NZBA - Earnst &amp; Young "Climate scenario narratives for the banking sector" 
IPCC 
IEA 
NGFS 
CCC 
GIC and Ortec Finance </t>
  </si>
  <si>
    <t xml:space="preserve">Physical data; IPCC Shared Socio-Economic Pathway (SSP) Scenarios SSP1-1.9, SSP1-2.6 , SSP5-8.5
Transiiton data: NGFS scenarios 
NZ physical prameters: NIWA RCP 2.6, 2.6, 8.5
NZ transition pathways: CCC tailwinds, headwinds and current polciies 
</t>
  </si>
  <si>
    <t>NGFS Net zero 2050, delayed transtiion, current policy
IPCC AR6 RCP 1.9, AR6 , RCP 6.0 
SSP1: Sustainability
SSP2: Middle of the Road
SSP3: Regional Rivalry</t>
  </si>
  <si>
    <t xml:space="preserve">Global climate and
socio-economic
parameters: IPCC SSP1-1.9, IPCC SSP2-4.5, IPCC SSP5-8.5
Global energy and
emission pathway
parameters: NGFS Net Zero 2050
IEA Net Zero Emissions
by 2050, NGFS NDCs
IEA APS, NGFS Current Policies
IEA STEPS
New Zealand-specific
climate parameters: NIWA RCP2.6, NIWA RCP4.5, NIWA RCP 8.5
New Zealand-specific
transition pathway
parameters: CCC ‘Tailwinds’, CCC ‘Headwinds’, CCC ‘Current Policy Reference’
</t>
  </si>
  <si>
    <t>- The International Panel on Climate Change (IPCC) 5th and 6th Assessment Reports and the AR6 Synthesis Report: Climate Change 2023 
- We have also had regard to the Climate Change scenarios for New Zealand published by the National Institute of Water and Atmospheric Research (NIWA)5 including their New Zealand findings from the IPCC 5th Assessment Report.
- Ministry for the Environment’s “Aotearoa New Zealand
climate change projections guidance”.</t>
  </si>
  <si>
    <t>International
Panel on Climate Change (IPCC) 5th and
6th Assessment Reports and the AR6
Synthesis Report: Climate Change 20236
which was published by the IPCC in March
2023
The Aotearoa
Circle7 and the Climate Change scenarios
for New Zealand published by the National
Institute of Water and Atmospheric
Research (NIWA)8 including their New
Zealand findings from the IPCC 5th
Assessment Report9. We have also referred
to the Ministry for the Environment’s
“Aotearoa New Zealand climate change
projections guidance”</t>
  </si>
  <si>
    <t>RCP provided by IPCC 6th assessment + SSP revelvant to NZ 
NZ reference data was overlaid
MfE Climate Assessment 2020 - Flooding 
SLR - NASA 
IEA 
Ministry of Tranport 
Mitigation vs Adaptation</t>
  </si>
  <si>
    <t>- the Intergovernmental Panel for Climate Change (IPCC) data 
- a Coastal Climate Risk Assessment Report
- SSP sCenarios
Data sources:
1. IPCC WG1 AR5 Summary for Policymakers
2. Ministry for the Environment (2018) Climate change projections for New Zealand
3. Treasury New Zealand (2022) CBAx Tool User Guidance
4. International Institute for Applied Systems Analysis (2018) SSP Database
5. Climate Change Commission (2021) Scenarios dataset for the Commission’s
2021 Final Advice</t>
  </si>
  <si>
    <t>Pick-and-mix of SSPs and RCPs</t>
  </si>
  <si>
    <t>Are the scenarios included a pick and mix of SSPs and RCPs ? (Some of which are not internally consistent)</t>
  </si>
  <si>
    <t>Not sure</t>
  </si>
  <si>
    <t>Yes, they combined from mutliple</t>
  </si>
  <si>
    <t xml:space="preserve">Yes - they have mixed and pick? </t>
  </si>
  <si>
    <t xml:space="preserve">Yes - they have mixed and picked </t>
  </si>
  <si>
    <t>Customized scenarios</t>
  </si>
  <si>
    <t>Are the scenarios off-the-shelf or further customized to meet with local setting / industry needs</t>
  </si>
  <si>
    <t xml:space="preserve">Collaborated with other retail industry participants to co-design a set of integrated climate change scenarios for New Zealand’s retail sector.
We then engaged external experts to assist us in interrogating these scenarios and performing a Briscoe Group specific risk assessment.  </t>
  </si>
  <si>
    <t>Self- developed three new temperature-aligned climate scenarios to assess its climate-related risks and opportunities and to further understand the resilience of its business model
and strategy from above.</t>
  </si>
  <si>
    <t xml:space="preserve">Used industry scenarios that are inspired from NGFS, IPCC SSP, IEA, CCC , IPCC RCP. </t>
  </si>
  <si>
    <t>AIA NZ participated in the FSC working group that
developed industry scenarios for life and health
insurers and fund managers. However, to ensure that
scenario analysis was relevant to our business internally developed scenarios were utilised, with these cross-checked for consistency against the FSC scenarios (workshops)</t>
  </si>
  <si>
    <t xml:space="preserve">Employ Buddle Findlay to facilityate 3 workshops to conduct scenario analysess
Use NZBA, the industry body for the banking sector in NZ, who engage Earnst &amp; Young "Climate scenario narratives for the banking sector"
Add further details (customize) to the scenarios by making further and different assumptions on the largest business lines (10%: lending, 90%: banking services) </t>
  </si>
  <si>
    <t xml:space="preserve">The Core Banking Group has synthesized 3 scenarios
Use sectoral scenarios when advisable .Adopt 2 sets of sector scenarios such as NZ banking assoication as well as Aoterora Cirlce's Agriculture Sector Climate Change Scenarios but neither of them provided scenarios that best describes plausible futures for us. 
Alinged with RaboBank-wide level but develop their own scenarios </t>
  </si>
  <si>
    <t>External advisers from KPMG NZ were engaged
to facilitate the development of three integrated
climate scenarios</t>
  </si>
  <si>
    <t>Via our Financial Services Council membership, we participated in the preparation of industry scenarios
In addition to the industry scenarios, our Risk and Compliance team led internal research to deepen our understanding of our alternative futures, including the impacts specific to New Zealand in terms of both physical and transitional impacts
Chubb Life was a member of the FSC’s Climate Working Group, which was involved in the development of the climate scenario
narratives for the financial services sector.</t>
  </si>
  <si>
    <t xml:space="preserve">Engage external consultants </t>
  </si>
  <si>
    <t xml:space="preserve">Non-temperature variables covered in scenarios </t>
  </si>
  <si>
    <t>What are the main variables that are covered and drive the scenarios? (apart from global temperature outcomes)</t>
  </si>
  <si>
    <t>Carbon price, oil price, green technology, SLR by 2m, temperature increase by 0.5oc, rainfall increase by 200mm</t>
  </si>
  <si>
    <t>- financial impact of supply chain distribution
- policy reaction to climate change</t>
  </si>
  <si>
    <t>- carbon price
- oil price volatility 
- technology change 
- customer attitude 
- macro economic factors 
- access to finance and insurance</t>
  </si>
  <si>
    <t>-Average sea level rise in NZ 
- Increase number of hot days in NZ 
- Increase in rainfall intensity in NZ 
- Increase in extreme windspeeds in NZ 
- Whole of life cycle carbon emission reduction requirements 
- NZ population 
- Percentage of population &lt;65 
- Shadow carbon price (not ETS price)
- Electricity grid emissions</t>
  </si>
  <si>
    <t xml:space="preserve">Phyiscal risk: mention qualitatively 
- Mean temperature change &amp; variability in temperature &amp; number of hot days &amp; change in rainfall/ precipitation extremes (mostly in the hothouse wolrd) 
- Phyiscal health risk 
- Economic impacts from lost productivity and cost of disaster relieft
-  Extreme event 
Transtion risk: 
- rapid electrification of transport, starting
with light vehicles and buses
- Buildings are made more thermally efficient and
domestic heating
-the reduction in transport emissions
reduces air pollution
- Demand in electricity 
- Shift from exotic forestry to native industry 
- </t>
  </si>
  <si>
    <t>- Net zero emission year
- Extreme weather events (see above)
- Polcity actiions to adop low-carbon technologies on (agircultural, transport, energy, manufacturing, construction sectors)
- Bank decarbonization will lead to better performance than competitiors / operational cors to repair damages to buildings, highe insurance costs, lower productivitiy and fewr clients due to disruption
- Balance between physcial and transtition risk
- Negative emission technology 
- Carbon sequestration from afforestration
- Energy pathways 
- Macro-economic trends (cost of goods and servicess)</t>
  </si>
  <si>
    <t>-International and national government climate policiies
- Inclusion of agircutlure  in carbon pricing 
- Government investment in infrastruture
- Carbon border adjustment mechanisms 
- Regulation of global financial market on climate risk 
- Low cost lending incentives to farmers to invest in emission mitigation/climate resilience technologies 
- Emission pricing capture methane-caused 
- Social prefernece on decarbonize natural fibre and protein 
- Weather events 
- Eco-systems services and water availability 
- Biodiversity and carbon credit markets 
- Growing consumer demand for sustainable agricuture products 
- Commodity prices 
- Competitive advantages for NZ farmer (higher premiums) 
- Economic instability (recessions) 
- Suply chain shocks 
- ESG requirements on import and exports 
-Glboal inflations and sprialling food prices
- Wealth division
- Domination of fewer and larger farming entities 
- Geopolitical unrest 
- Lack of consensus on who bears responsbility for climate related damage remediataion and retreat costs 
- Cllimate migrants</t>
  </si>
  <si>
    <t>-Fossil fuel use
- Reduction of emissions 
- Physical impact degree</t>
  </si>
  <si>
    <t>-Severe of physical risk 
- Severe of transition risk 
- Policy reactioon 
- Regional policy variation 
- Technology change 
- Carbon dioxide removal
- Mancro economic conditions 
- Consumption 
- Societiy 
- Economy 
-Technology</t>
  </si>
  <si>
    <t>-Carbon price (  Domestic ETS: NZ$140 in 2030,
NZ$250 in 2050,  Global: US$124 in 2030,
US$400 in 2050) 
- Global population: 8 billion by
2030, 8.5 billion by 2050
Percent of renewable electricity of
total electricity produced
Percent of renewable energy of
total energy produced:
NZ Growth and global GDP growth (GDP% change due to chronic phyiscal impact, acute impacts are exclued from this fiure)</t>
  </si>
  <si>
    <t>-Widespread and rapid changes in the atmosphere, ocean and biosphere
- Global mean sea level increased by 0.20 metres between 1901 and 2018
- food security and affected water security,
- New Zealand could see population growth
from between 16% to 26% which could be similar to global population growth trends of between 8% to 16%.
- number of extreme heat days</t>
  </si>
  <si>
    <t>-Temperature chance 
- Flooding 
- Sea level rise 
- Population growth 
- Regulatory/poly 
- Technology 
- Tranportation 
- Miitigation vs adaptation efforts</t>
  </si>
  <si>
    <t xml:space="preserve">-NZ carbon price 
- NZ population 
- NZ sea level rise 
- Rainfall intensity 
- NZ hot days 
- NZ total fuel demands 
</t>
  </si>
  <si>
    <t>Co-produced climate scenarios</t>
  </si>
  <si>
    <t>Are the scenarios / assessments being co-produced ?  For instance, are there keywords like ‘participatory’, ‘co-creat$’, ‘deliber$’, ‘co-design$’ which might be indicative of the legitimacy of the scenarios?</t>
  </si>
  <si>
    <t>Yes - co produced with other retail industry partners</t>
  </si>
  <si>
    <t>Yes - co produced with Business Energy Council?</t>
  </si>
  <si>
    <t xml:space="preserve">Yes - co produced with other life and health insurers and fund managers </t>
  </si>
  <si>
    <t>Yes - co produced with industry banking sector</t>
  </si>
  <si>
    <t>Developed their own since they are agirculture-bank sector</t>
  </si>
  <si>
    <t>No - they develop a mix and picked of their own</t>
  </si>
  <si>
    <t>Yes - co produced with industry sector</t>
  </si>
  <si>
    <t>Baseline scenarios</t>
  </si>
  <si>
    <t>What is the baseline /reference scenarios or assumptions that is used to measure the impact of climate change scenarios against ?</t>
  </si>
  <si>
    <t>1.1oC by 2100</t>
  </si>
  <si>
    <t xml:space="preserve">Baseline assumptions such as population growth and demographic shifts are assumed to be consistent across the three climate scenarios and in accordance with Statistics New Zealand projections6, adopting the approach taken by NGFS and IEA. </t>
  </si>
  <si>
    <t xml:space="preserve">Baseline for each variable: 
physical climate data included in each
scenario is relative to a baseline, and baseline data for different regions is provided in Appendix D. </t>
  </si>
  <si>
    <t xml:space="preserve">No mentions of baseline scenarios are included </t>
  </si>
  <si>
    <t xml:space="preserve">No mentions of baseline scenarios </t>
  </si>
  <si>
    <t xml:space="preserve">Model used </t>
  </si>
  <si>
    <t>What climate models/ integrated assessment models / macro-economic models used in the creation of scenarios?</t>
  </si>
  <si>
    <t>For instance, physical risk models (ISIMP, CLIMADA), Integrated Assessment Models (IAM- REMIND- MAgPIE, IAM-MESSAGE-GLOBIOM, IAM-GCAM, DICE) or macro-economic models (NiGEM, GEM, system dynamic model,DGSE model)</t>
  </si>
  <si>
    <r>
      <t xml:space="preserve">Pg. 34. </t>
    </r>
    <r>
      <rPr>
        <i/>
        <sz val="12"/>
        <rFont val="Calibri"/>
        <family val="2"/>
        <scheme val="minor"/>
      </rPr>
      <t>Methods and Assumptions.</t>
    </r>
    <r>
      <rPr>
        <sz val="12"/>
        <rFont val="Calibri"/>
        <family val="2"/>
        <scheme val="minor"/>
      </rPr>
      <t xml:space="preserve"> Substantiate the processes used to assess climate-related risks</t>
    </r>
  </si>
  <si>
    <t xml:space="preserve">Quantitative fuel demand projections for each scenario were developed through detailed analysis of energy demand for transport data from the NGFS Global Change Assessment Model (GCAM) (AU and NZ) and using the IEA model for comparative purposes. 
</t>
  </si>
  <si>
    <t xml:space="preserve">Not mentioned.
Emission trajectory data is sourced from NGFS IIASA Scenario Explorer (should covered all models). </t>
  </si>
  <si>
    <t xml:space="preserve">Not mentioned. </t>
  </si>
  <si>
    <t>Damage from acute phyiscal risk (extreme events) considered?</t>
  </si>
  <si>
    <t>Is damage from extreme events considered in the set of climate scenarios/ pathways?</t>
  </si>
  <si>
    <t>Earlier climate scenarios/ models often consider only chronic risk (for instance, SLR, temperature and rainfall change), but newer climate scenarios / models (for instance NGFS Phase 3) also include projections of potential losses from extreme events.</t>
  </si>
  <si>
    <t>The costs of extreme weather across Z’s assets was also considered at this point.</t>
  </si>
  <si>
    <t>Yes, considered extreme windspeeds beside SLR and hot days and rainfalls</t>
  </si>
  <si>
    <t>Yes, mentioned as follow;
there is a further limited increase in both
temperature and extreme event</t>
  </si>
  <si>
    <t>Yes, mention of extreme weather 
- Net zero: from now until 2100 there will be no surges
in extreme weather events
- Too litlte too late: In the 2030s, the world will experience a series of extreme weather event
shocks in the form of transition and physical impacts
due to the world's lack of action, with each shock having a larger impact than the previous shock
- Hothouse world: From now until 2100, New Zealand will experience a series of extreme weather
shocks, which rise in frequency and severity over time, as temperatures rise</t>
  </si>
  <si>
    <t xml:space="preserve">Scale </t>
  </si>
  <si>
    <t xml:space="preserve"> Are the scenarios based on global climate models?</t>
  </si>
  <si>
    <t xml:space="preserve">Yes. IPCC data....or... no, NIWA local climate modelling. 
NGFS would have different resolutions as well (downscaled regional or global model). </t>
  </si>
  <si>
    <t>Regional variations in scenarios (medium - green road, high for road block and low- hot house world)</t>
  </si>
  <si>
    <t>NZ / industry specific 
NIWA’s downscaled SSP and RCP climate variables (The New Zealand physical climate data for rainfall intensity,
number of hot days and wind extremes has been sourced from downscaled NIWA RCP projections (IPCC AR5)), NIWA have not yet completed downscaling for global SSP
projections (IPCC AR6).</t>
  </si>
  <si>
    <t>National  local physical modesl (NIWA)</t>
  </si>
  <si>
    <t>The scenarios have a primary focus on
Australasia (Australia and New Zealand),
North and Central America (including Mexico)
and Europe.These geographic regions were
agreed as they are most applicable to Vista
Group’s operational and market footprin</t>
  </si>
  <si>
    <t xml:space="preserve">NZ </t>
  </si>
  <si>
    <t>NZ reference data</t>
  </si>
  <si>
    <t>Text scrapping</t>
  </si>
  <si>
    <t>Are the short, medium and long term risks identified? What are the rationale for these time frames?</t>
  </si>
  <si>
    <t>Yes. e.g. 2020-2030, 2035-2065, 2081-2100.</t>
  </si>
  <si>
    <t>Short-term: 1-3 years
Medium-term: 3-10 years
Long terms: &gt; 10 years</t>
  </si>
  <si>
    <t>Short-term: 2024-2028 (Aligns with current strategic cycle) 
Medium-term: 2029-2035 (Aligns with Z’s enterprise strategic scenario analysis done as part of the development of its strategy)
Long term: 2036-2050 (Aligns with Ampol’s target and Aotearoa New Zealand’s domestic target under the Climate Change Response Act 2002.)</t>
  </si>
  <si>
    <t>Short-term: present- 2030 (Within PFI’s weighted average lease term (WALT) (1-6 years)) 
Medium-term: 2031-2050 (The period in which PFI anticipates spending major CAPEX at most properties (6-25 years)) 
Long-term: 2051-2100 (The life of a building (+25 years)</t>
  </si>
  <si>
    <t>Short: 3 year: algins with strategic planning period
Medium: 3-10 years: Aligns with capital management of risk insurance
products, near-term science-based targets for emission
reduction and our global ambition to engage a billion
people to live Healthier, Longer, Better Lives by 2030
Long: 10-30 years: Aligns with Net-Zero Commitment and the long-term nature of AIA NZ’s life insurance busines</t>
  </si>
  <si>
    <t xml:space="preserve">Intermmediate: 3 year (2025) 
Short-term: 10 years 
Median term: 30 years 
Longterm : 50 years </t>
  </si>
  <si>
    <t xml:space="preserve">Short-term: Now-2030  (5 year horizons in strategic planning ) 
Medium term: 2030-2050 (contratual maturity profile of the Core Bank Group) 
Long term: 2050 -2100 (recognize the intergenerational nature of farming and growing in NZ)
</t>
  </si>
  <si>
    <t>Short-term: Now-2025 
Medium: 2026-2030 
Long: 2031-beyond</t>
  </si>
  <si>
    <t>Short-term: 2023-2028
Medium-term: 2029-2039
Long-term: 2040-2050
The end point of 2050 was selected to be
long enough to capture the range of potential
transition risks and the initiation of physical
risk divergence. This end point also aligns with
international standard frames of reference
(e.g. Net Zero targets</t>
  </si>
  <si>
    <t>Short-term (1-3 years) 
Medium-term (5-10 years) 
Long-term (+30 years) impact</t>
  </si>
  <si>
    <t>Near-term (2023-2030) 
Mid-term (2031-2050)
Long-term (2050-forward)</t>
  </si>
  <si>
    <t>Short-term (1-3 years) 
Medium term (3-10 years) 
Long-terms (10-30 years)</t>
  </si>
  <si>
    <t xml:space="preserve">Short-term (2024-2040) 
Medium term (2030-2050) 
Long-terms (2050-2100) </t>
  </si>
  <si>
    <t>Justification for climate scenarios/ models</t>
  </si>
  <si>
    <t>Does the CRE provide justification for their choice of climate scenarios/ models?</t>
  </si>
  <si>
    <t xml:space="preserve">A scenario analysis methodology document supporting their rationale </t>
  </si>
  <si>
    <t>Pg. 34. An explanation of why the entity believes the chosen scenarios are relevant and appropriate to assessing the resilience of the entity’s business model and strategy to climate-related risks and opportunities.</t>
  </si>
  <si>
    <t>Yes: 
- Z selected the Network for Greening the Financial System (NGFS) scenarios as the most suitable for drawing on for
quantitative analysis.</t>
  </si>
  <si>
    <t xml:space="preserve">Yes but detailed in the Beca report. </t>
  </si>
  <si>
    <t>After reviewing scenarios found in the NZBA Report, the GIC Report and reports published by the IPCC,
IEA, NGFS, and Climate Change Commission, Citi NZ decided to focus on the NZBA Report and the GIC
Report because it was the most relevant to the banking sector in New Zealand, incorporated scenarios
from the IPCC, IEA, NGFS and the Climate Change Commission, and complied with the temperatures
prescribed for undertaking scenario analysis in NZ CS 1.
The GIC Report was useful in identifying further characteristics, risks, opportunities and impacts, and was the easiest to understand. The GIC Report discussed four scenarios, of which three are consistent with the NZBA Report and achieve fair presentation as required by NZ CS 3.</t>
  </si>
  <si>
    <t>The sector narratives are supported by robust rationale for their inclusion. The Orderly and Hothouse scenarios are commonly used
in relevant industries, and have been used in other New Zealand sectoral analyses. The Too Little Too Late scenario is not commonly
used, but is considered more realistic than the “Disorderly” scenario. In order to further satisfy ourselves that the scenarios were
relevant and appropriate, we reviewed the narratives against the scenario quality check factors set out in the XRB’s Staff Guidance
on Scenario development, as well as the express requirements of the Climate Standards. We also undertook additional research
relating to climate change and its impacts from a life insurance perspective, to ensure that our understanding of the impacts on
human health and life was robust. See the References at the end of this report for a list of the New Zealand-specific resources used in
conducting our scenario analysis.</t>
  </si>
  <si>
    <t>Discussion of Physical Climate Hazards and Risks</t>
  </si>
  <si>
    <t>Physical hazards relevant to the business</t>
  </si>
  <si>
    <t xml:space="preserve">Are the physical hazards to the CRE listed in their disclosure?  
Physical risks resulting from climate change can be event driven (acute) or longer-term shifts (chronic) in climate patterns. </t>
  </si>
  <si>
    <t>Flood (coastal inundation, pluvial flooding, fluvial flooding)
Cyclones 
Changes in precipitation patterns and extreme variability in weather patterns (Rainfall)
Rising mean temperatures
Sea level rise 
Heatwave 
Drought</t>
  </si>
  <si>
    <t>- Climate-related events
- Storminess (tropical cyclones), extreme wind, convective wateher events (tornadoes, lighting), extreme rainfall, hail
- Storms/ floods
- Sea-level rise leading to
coastal and estuarine
flooding</t>
  </si>
  <si>
    <t xml:space="preserve">- Sea-level rise 
-  Precipitation 
-  Drought </t>
  </si>
  <si>
    <t>-Extreme weather events 
- Rising temperature 
- Sea level rise risk</t>
  </si>
  <si>
    <t>Extreme weather event (physical):</t>
  </si>
  <si>
    <t>Acute vs. Chronic physical hazards</t>
  </si>
  <si>
    <t xml:space="preserve">Are these risks diferentated between acute and chronic? </t>
  </si>
  <si>
    <t xml:space="preserve">Acute physical risks refer to those that are event-driven, including increased severity of extreme weather events, such as cyclones, hurricanes, or floods. 
Chronic physical risks refer to longer-term shifts in climate patterns (e.g., sustained higher temperatures) that may cause sea level rise or chronic heat waves. </t>
  </si>
  <si>
    <t>Both extreme events and chronic (SLR)</t>
  </si>
  <si>
    <t>Mostly chronic</t>
  </si>
  <si>
    <t>Both extreme events and chronic (SLR &amp; temperature)</t>
  </si>
  <si>
    <t>Acute impacts are excluded from GDP growth</t>
  </si>
  <si>
    <t>Is discussion of physical risk based on the geo-locations of its assets?</t>
  </si>
  <si>
    <t>Is discussion of physical risk generic or based on the geo-locations of its assets?</t>
  </si>
  <si>
    <t>Asset base is geographically spread or located near ports at sea level, highland?</t>
  </si>
  <si>
    <t xml:space="preserve">Not geo-location specific. </t>
  </si>
  <si>
    <t>Based on geo-locations. 
Z’s asset base is geographically spread throughout Aotearoa New Zealand, including nine terminals largely located near ports at sea level, and 189 Z branded retail sites and 82 Z branded truck stops.
Z assessed the number of assets exposed to physical risks to understand the potential impact on all Z’s assets (including retail sites, terminals and joint operations, truck stops and corporate offices) across Aotearoa New Zealand.</t>
  </si>
  <si>
    <t>Based on geo-locations. 
- S&amp;P Global Climanomics platform (used to assess a range of climate hazards as described below); 
- NIWA’s extreme sea level flood maps (1%AEP and up to 2m sea-level rise) for Aotearoa5 and local Council hazard maps.</t>
  </si>
  <si>
    <t>Physical risks listed</t>
  </si>
  <si>
    <t>What are the risks specific to the business due to physical hazards?</t>
  </si>
  <si>
    <t>Drought, heat stress, flooding, inundation, rising sea levls, biosecurity, storm surge </t>
  </si>
  <si>
    <t>Pg.  24. Identify driving forces and determine critical uncertainties</t>
  </si>
  <si>
    <t>- Sustainable Sourcing
- Increased storminess/extreme winds
- River and pluvial flooding
 - Global supply chain risk
- Sea-level rise leading to coastal and estuarine                                                                                                                                                                                                                                                                 flooding</t>
  </si>
  <si>
    <t>-Supply chain disruption.   Extreme weather and market disorder causing supply chain disruption.</t>
  </si>
  <si>
    <t>- Extreme event:  Damage or accelerated deterioration of assets and impact the availability of insurance coverage for specific perils
- Rising temperature: increased demand on air conditioning systems and electricity use during hot, dry summers
- SLR: insurance retreat from coastal locations and at-risk properties may become permanently unprofitable or stranded</t>
  </si>
  <si>
    <t>Physical opportunities listed</t>
  </si>
  <si>
    <t>What are the opportunities specific to the business due to physical hazards?</t>
  </si>
  <si>
    <t>International influences
from climate change
and greenhouse gas
mitigation preferences (climate migration)</t>
  </si>
  <si>
    <t>No- mostly transtion opportunities</t>
  </si>
  <si>
    <t>Building climate resilience: 
Improve resilience of existing assets against the physical impacts of climate change during sustainable refurbishments and developments.
Improve PFI’s due diligence and management of properties with heightened climate risk to create a more resilient portfolio.
Reduce reactive capital expenditure on responding to climate-related weather events.
Reduce the number of insurance claims and improve insurer appetite.
Improve the safety of tenants and occupants.</t>
  </si>
  <si>
    <t>Discussion of current and anticipated financial impacts</t>
  </si>
  <si>
    <t>Quantification of physical hazards</t>
  </si>
  <si>
    <t>Was there any quantification of the business exposure to physical hazards across climate scenarios ?</t>
  </si>
  <si>
    <t xml:space="preserve">10% of mortgage are exposed to present- day SLR 
</t>
  </si>
  <si>
    <r>
      <t xml:space="preserve">Pg. 37. </t>
    </r>
    <r>
      <rPr>
        <i/>
        <sz val="12"/>
        <rFont val="Calibri"/>
        <family val="2"/>
        <scheme val="minor"/>
      </rPr>
      <t>Anticipated impacts and financial impacts.</t>
    </r>
    <r>
      <rPr>
        <sz val="12"/>
        <rFont val="Calibri"/>
        <family val="2"/>
        <scheme val="minor"/>
      </rPr>
      <t xml:space="preserve"> The anticipated impacts of climate-related risks and opportunities reasonably expected by the entity.</t>
    </r>
  </si>
  <si>
    <t xml:space="preserve"> A quantitative risk analysis of the exposure of Z’s assets to the projected changes in sea-level rise, precipitation, drought and wind across three temperature-aligned climate scenarios was conducted, but no figure was mentioned. 
Increased precipitation is likely at over 80 percent of Z assets from 2025 onwards. 
Fluvial and tidal flooding and impacts from extreme precipitation intensity are expected to pose the most significant physical risks to Z, though localised studies are required to determine to what extent. 
The proportion of Z’s assets exposed to these flooding risks by 2040 are presented by region in the map overleaf.
* Assets exposed to fluvial (river flooding) and pluvial
(surface flooding) with increased precipitation 
* Assets exposed to tidal flooding with sea-level rise 
* Assets exposed to all of the above, tidal flooding with sea-level rise, fluvial and pluvial flooding and increased precipitation</t>
  </si>
  <si>
    <t>0.16 - 0.85% Modelled Average Annual Loss (MAAL) %14 due to pluvial and fluvial flooding (According to the Climanomics platform, the MAAL over a short, medium and long term time horizon (2020s through to 2090s) due to pluvial and fluvial flooding is anticipated to range between 0.16 - 0.85% (relative to the current insured value of almost $2B), in a ‘Disorderly’ and ‘Hot House World Scenario) 
 0.38 - 1.57% Modelled Average Annual Loss % due to temperature extremes
2.2% % of properties by market value that may be at risk of coastal flooding due to sea level rise risk
33% Average % increase in insurance premium1</t>
  </si>
  <si>
    <t>Lending exposures to key industries subjected to climate risk (19 billions) (agirculture, other indstires)</t>
  </si>
  <si>
    <t>Current financial impact</t>
  </si>
  <si>
    <t>Are the current financial impacts of climate change discussed in the disclosure? (related to provision)</t>
  </si>
  <si>
    <t>"Under the three scenarios we might
expect an increase in our weather-related peril Annual Average Loss (AAL) of between 26% and 34% by 2050, in FY22 dollars."</t>
  </si>
  <si>
    <t>Partially via current increase in insurance premium: 
During PFI’s 2023 insurance renewal, PFI experienced an average increase of 33% in premiums compared to the prior year’s premiums. This increase is attributable to a range of factors such as increased sums insured, the physical impacts of Cyclone Gabrielle and the Auckland floods, and increased climate events globally. The majority of insurance premiums are recovered from PFI's tenants.</t>
  </si>
  <si>
    <t>Anticipated financial impact</t>
  </si>
  <si>
    <t>Are the future financial impacts of climate change discussed in the disclosure? (related to provision)</t>
  </si>
  <si>
    <t xml:space="preserve">Financial Impact Uncertainty </t>
  </si>
  <si>
    <t>Is there disclosure of the range of uncertainty surrounding the expected (average - mean) exposure and financial impacts due to climate physical hazards?</t>
  </si>
  <si>
    <t xml:space="preserve">Is there a range? Error bar? Or a singal number? </t>
  </si>
  <si>
    <r>
      <t xml:space="preserve">Pg. 24. </t>
    </r>
    <r>
      <rPr>
        <i/>
        <sz val="12"/>
        <rFont val="Calibri"/>
        <family val="2"/>
        <scheme val="minor"/>
      </rPr>
      <t>Current impacts and financial impacts.</t>
    </r>
    <r>
      <rPr>
        <sz val="12"/>
        <rFont val="Calibri"/>
        <family val="2"/>
        <scheme val="minor"/>
      </rPr>
      <t xml:space="preserve"> If the entity is unable to disclose quantitative information, an explanation of why this is the case.31</t>
    </r>
  </si>
  <si>
    <t>A note on uncertainty : It should be noted that climate science is complex and constantly evolving, there remains signficant uncertainty in climate models, espeically around climate sensitiivty, tipping points, feedback loop, social economic responses (underetimate, overestimate)</t>
  </si>
  <si>
    <t xml:space="preserve">Financial Impact  </t>
  </si>
  <si>
    <t>Are the financial impacts detailed  quantatively or qualitatively?</t>
  </si>
  <si>
    <r>
      <t xml:space="preserve">Pg. 24. </t>
    </r>
    <r>
      <rPr>
        <i/>
        <sz val="12"/>
        <rFont val="Calibri"/>
        <family val="2"/>
        <scheme val="minor"/>
      </rPr>
      <t>Current impacts and financial impacts.</t>
    </r>
    <r>
      <rPr>
        <sz val="12"/>
        <rFont val="Calibri"/>
        <family val="2"/>
        <scheme val="minor"/>
      </rPr>
      <t xml:space="preserve"> If the entity is unable to disclose quantitative information, an explanation of why this is the case.32</t>
    </r>
    <r>
      <rPr>
        <sz val="11"/>
        <color theme="1"/>
        <rFont val="Calibri"/>
        <scheme val="minor"/>
      </rPr>
      <t/>
    </r>
  </si>
  <si>
    <t xml:space="preserve">No mentioned of financial impact quantification but mention of qualitative assessment. </t>
  </si>
  <si>
    <t>No mentioned of financial impact quantification but mention of insurance premium (and not company revenue asset or income)</t>
  </si>
  <si>
    <t xml:space="preserve">Indirect/Direct loss </t>
  </si>
  <si>
    <t>Is the CRE disclosing  direct or indirect loss?</t>
  </si>
  <si>
    <t>Mostly direct loss</t>
  </si>
  <si>
    <t>Commerical scoping</t>
  </si>
  <si>
    <t xml:space="preserve">Were CRIs involved in the creation of this disclosure? </t>
  </si>
  <si>
    <t>NIWA, ESR, GNS Science</t>
  </si>
  <si>
    <t>Pg. 28. Describe who the external partners and 
stakeholders were and prove the involvement 
they had in the scenario analysis process.</t>
  </si>
  <si>
    <t>NIWA regional documentation</t>
  </si>
  <si>
    <t>Datasets/ invovlement</t>
  </si>
  <si>
    <t xml:space="preserve">Was the involvement in terms of providing the climate scenarios/consulting on the identification of climate risk and opportunities/ analysis of climate physical risk, hazard, exposure/ providing datasets or analysis of current/ anticipated impacts? </t>
  </si>
  <si>
    <t>NIWA inundation map, GNS groundwater map, NIWA climate scenarios, NZ Sea Rise, etc…</t>
  </si>
  <si>
    <t xml:space="preserve">Not mentioned of datasets. </t>
  </si>
  <si>
    <t>NIWA Climate Change projections for New Zealand</t>
  </si>
  <si>
    <t>NIWA in scenario development .
NIWA’s extreme sea level flood maps (1%AEP and up to 2m sea-level rise) for Aotearoa5 and local Council hazard maps.
S&amp;P Global Climanomics platform (a science-backed climate risk analytics platform that measures the financial risk of a range of climate hazards to physical assets)</t>
  </si>
  <si>
    <t>Was a consultancy employed to conduct part, or all, of the disclosure?</t>
  </si>
  <si>
    <t xml:space="preserve">Deloitte, , EY (Earnst &amp; Young), PWC (Pricewaterhouse Coopers), Tonkin + Taylor, Beca, Center for Sustainble Finance, NIWA, KPMG, WSP, PDP for flooding. </t>
  </si>
  <si>
    <t>Deloitte was used on scenarios 
Pattle Delamore Partners and PwC – to conduct a quantitative risk analysis of the exposure of Z’s assets
to the projected changes in sea-level rise, precipitation, drought and wind.</t>
  </si>
  <si>
    <t xml:space="preserve">Beca for scenario development with NIWA involve in this process of creating scenarios. </t>
  </si>
  <si>
    <t xml:space="preserve">Consulting areas </t>
  </si>
  <si>
    <t xml:space="preserve">What parts of the disclosures (climate risk/ data provision / transition risk) are consultants commonly contracted </t>
  </si>
  <si>
    <r>
      <rPr>
        <i/>
        <sz val="12"/>
        <rFont val="Calibri"/>
        <family val="2"/>
      </rPr>
      <t>Who</t>
    </r>
    <r>
      <rPr>
        <sz val="12"/>
        <rFont val="Calibri"/>
        <family val="2"/>
      </rPr>
      <t xml:space="preserve"> is consulting on </t>
    </r>
    <r>
      <rPr>
        <i/>
        <sz val="12"/>
        <rFont val="Calibri"/>
        <family val="2"/>
      </rPr>
      <t>what</t>
    </r>
    <r>
      <rPr>
        <sz val="12"/>
        <rFont val="Calibri"/>
        <family val="2"/>
      </rPr>
      <t xml:space="preserve"> risk? </t>
    </r>
  </si>
  <si>
    <t xml:space="preserve">Beca Limited, Climate Scenarios for the Construction and Property Sector, Ngā Horopaki Āhuarangi mō te Rāngai Hanganga me ngā Whare, New Zealand Green Building Council (2023. 
NIWA: extreme flood map 
</t>
  </si>
  <si>
    <t>Company</t>
  </si>
  <si>
    <t>Variable</t>
  </si>
  <si>
    <t xml:space="preserve">Original Result </t>
  </si>
  <si>
    <t>Real Result</t>
  </si>
  <si>
    <t>Industry</t>
  </si>
  <si>
    <t>Other</t>
  </si>
  <si>
    <t>Net Zero 2050 (Orderly)|Delayed Transition|(Disorderly Category)|Current Policies (Hot|House World Category)</t>
  </si>
  <si>
    <t>Net Zero 2050 (Orderly)</t>
  </si>
  <si>
    <t>Green Road (Net Zero 2050 orderly transition that limits global warming to 1.5°C) |Road Block (Delayed, disorderly transition that limits global warming to below 2°C) |Hot House (Current policies)</t>
  </si>
  <si>
    <t xml:space="preserve">Green Road (Net Zero 2050 orderly transition that limits global warming to 1.5°C) </t>
  </si>
  <si>
    <t xml:space="preserve">a 1.5°C ‘Orderly’ scenario (Alignment with SSP1-1.9 and RCP2.6) |a less than 2°C ‘Disorderly’ scenario (Alignment with SSP1-2.6 and RCP2.6) |a greater than 3°C ‘Hot House World’ scenario (Alignment with SSP3-7.0 and RCP8.5) </t>
  </si>
  <si>
    <t xml:space="preserve">a 1.5°C ‘Orderly’ scenario (Alignment with SSP1-1.9 and RCP2.6) </t>
  </si>
  <si>
    <t>Net-zero 2050 (orderly) |Delayed transition (disorderly)|Current polciies (hothouse)</t>
  </si>
  <si>
    <t xml:space="preserve">Net-zero 2050 (orderly) </t>
  </si>
  <si>
    <t xml:space="preserve">1.5oC orderly scenario |3oC hothouse world |2-3oC too little too late scenarios </t>
  </si>
  <si>
    <t xml:space="preserve">1.5oC orderly scenario </t>
  </si>
  <si>
    <t xml:space="preserve">1.5oC orderly scenario |Disorderly |Hothouse world </t>
  </si>
  <si>
    <t xml:space="preserve">Fast action (1.5oC future) |Delayed rapid action |Required action (2oC future) |Current trajectory (&gt;3oC future) </t>
  </si>
  <si>
    <t xml:space="preserve">Fast action (1.5oC future) </t>
  </si>
  <si>
    <t xml:space="preserve">Net Zero 20250 (Orderly) |Delayed Transtion (Disorderly) |Current Policies (Hothouse) </t>
  </si>
  <si>
    <t xml:space="preserve">Net Zero 20250 (Orderly) </t>
  </si>
  <si>
    <t>Orderly -1.5oC |Too litltle too late (2oC )|Hothouse (3oC)</t>
  </si>
  <si>
    <t xml:space="preserve">Orderly -1.5oC </t>
  </si>
  <si>
    <t>Orderly -1.5oC (NGFS)</t>
  </si>
  <si>
    <t>Orderly - 1.5oC |2oC Scenario (Disorderly) |3oC scenario (Houthouse world)</t>
  </si>
  <si>
    <t xml:space="preserve">Orderly - 1.5oC </t>
  </si>
  <si>
    <t>Deep decarbonization (SSP1-1.9 and RCP 2.6) |Status quo scenario (SSP2-4.5 and RCP 4.5)|Carbon intensive scenario (SSP5-8.5 and RCP 8.5)</t>
  </si>
  <si>
    <t xml:space="preserve">Deep decarbonization (SSP1-1.9 and RCP 2.6) </t>
  </si>
  <si>
    <t xml:space="preserve">Combined with other international </t>
  </si>
  <si>
    <t>Green (1.oC degree)  (Orderly) (SSP1)  (RCP 2.6)  (Tailwinds) |Amber Middle degree scenario  (Disorderly)  (SSP2)  (RCP 4.5)  (Headwinds) |Red &gt;3oC scenario (Hothouse)(SSP5)  (RCP 7.0)  (Current polcies)</t>
  </si>
  <si>
    <t xml:space="preserve">Green (1.oC degree)  (Orderly) (SSP1)  (RCP 2.6)  (Tailwinds) </t>
  </si>
  <si>
    <t>Combined with other international  &amp; local</t>
  </si>
  <si>
    <t>Delayed transition (disorderly)</t>
  </si>
  <si>
    <t xml:space="preserve">Road Block (Delayed, disorderly transition that limits global warming to below 2°C) </t>
  </si>
  <si>
    <t xml:space="preserve">a less than 2°C ‘Disorderly’ scenario (Alignment with SSP1-2.6 and RCP2.6) </t>
  </si>
  <si>
    <t xml:space="preserve">3oC hothouse world </t>
  </si>
  <si>
    <t xml:space="preserve">Disorderly </t>
  </si>
  <si>
    <t xml:space="preserve">Delayed rapid action ; Required action (2oC future) </t>
  </si>
  <si>
    <t xml:space="preserve">Delayed Transtion (Disorderly) </t>
  </si>
  <si>
    <t>Too litltle too late (2oC )</t>
  </si>
  <si>
    <t xml:space="preserve">2oC Scenario (Disorderly) </t>
  </si>
  <si>
    <t>Status quo scenario (SSP2-4.5 and RCP 4.5)</t>
  </si>
  <si>
    <t xml:space="preserve">Amber Middle degree scenario  (Disorderly)  (SSP2)  (RCP 4.5)  (Headwinds) </t>
  </si>
  <si>
    <t>Current Policies House World Category)</t>
  </si>
  <si>
    <t>Hot House (Current policies)</t>
  </si>
  <si>
    <t xml:space="preserve">a greater than 3°C ‘Hot House World’ scenario (Alignment with SSP3-7.0 and RCP8.5) </t>
  </si>
  <si>
    <t>Current polciies (hothouse)</t>
  </si>
  <si>
    <t xml:space="preserve">2-3oC too little too late scenarios </t>
  </si>
  <si>
    <t xml:space="preserve">Hothouse world </t>
  </si>
  <si>
    <t xml:space="preserve">Current trajectory (&gt;3oC future) </t>
  </si>
  <si>
    <t xml:space="preserve">Current Policies (Hothouse) </t>
  </si>
  <si>
    <t>Hothouse (3oC)</t>
  </si>
  <si>
    <t>3oC scenario (Houthouse world)</t>
  </si>
  <si>
    <t>Carbon intensive scenario (SSP5-8.5 and RCP 8.5)</t>
  </si>
  <si>
    <t>Red &gt;3oC scenario (Hothouse)(SSP5)  (RCP 7.0)  (Current polcies)</t>
  </si>
  <si>
    <t>AIA_NEW_ZEALAND_LIMITED_2023</t>
  </si>
  <si>
    <t>BRISCOE_GROUP_LIMITED_2024</t>
  </si>
  <si>
    <t>CDL_INVESTMENTS_NEW_ZEALAND_LIMITED_2023</t>
  </si>
  <si>
    <t>MILLENNIUM_AND_COPTHORNE_HOTELS_NEW_ZEALAND_LIMITED_2023</t>
  </si>
  <si>
    <t>CITIBANK_NA_NEW_ZEALAND_BRANCH_2023</t>
  </si>
  <si>
    <t>RABOBANK_NEW_ZEALAND_LIMITED_2023</t>
  </si>
  <si>
    <t>VENTIA_SERVICES_GROUP_LIMITED_2023</t>
  </si>
  <si>
    <t>VISTA_GROUP_INTERNATIONAL_LIMITED_2023</t>
  </si>
  <si>
    <t>CHUBB_LIFE_INSURANCE_NEW_ZEALAND_LIMITED_2023</t>
  </si>
  <si>
    <t>PFI_LIMITED_2023</t>
  </si>
  <si>
    <t>Z_ENERGY_LIMITED_2023</t>
  </si>
  <si>
    <t>NZME_LIMITED_2023</t>
  </si>
  <si>
    <t>CHANNEL_INFRASTRUCTURE_NZ_LIMITED_2023</t>
  </si>
  <si>
    <t>Type</t>
  </si>
  <si>
    <t>FY23/24</t>
  </si>
  <si>
    <t>AA INSURANCE LIMITED</t>
  </si>
  <si>
    <t>AA Insurance 2025 Climate Statement FINAL SIGNED.pdf</t>
  </si>
  <si>
    <t>FY24/25</t>
  </si>
  <si>
    <t>MANAWA ENERGY LIMITED</t>
  </si>
  <si>
    <t>Manawa Energy Limited FY25  Climate Statement.pdf</t>
  </si>
  <si>
    <t>SUMMERSET GROUP HOLDINGS LIMITED</t>
  </si>
  <si>
    <t>Sustainability Review and Climate-related Disclosures FY24.pdf</t>
  </si>
  <si>
    <t>LIVESTOCK IMPROVEMENT CORPORATION LIMITED</t>
  </si>
  <si>
    <t>LIC_ClimateReport_31052025.pdf</t>
  </si>
  <si>
    <t>VERO INSURANCE NEW ZEALAND LIMITED</t>
  </si>
  <si>
    <t>SUN001 Vero Insurance-CRD-v23HR_Signed.pdf</t>
  </si>
  <si>
    <t>WESTPAC NEW ZEALAND LIMITED</t>
  </si>
  <si>
    <t>WNZL Climate Report 2024.pdf</t>
  </si>
  <si>
    <t>Tower Limited Climate Statement.pdf</t>
  </si>
  <si>
    <t>TOWER LIMITED</t>
  </si>
  <si>
    <t>OCEANIA HEALTHCARE LIMITED</t>
  </si>
  <si>
    <t>Oceania Healthcare FY2025 Climate-related Risk Disclosure.pdf</t>
  </si>
  <si>
    <t>KIWIBANK LIMITED</t>
  </si>
  <si>
    <t>Kiwibank 2025 Climate Statement.pdf</t>
  </si>
  <si>
    <t>FISHER &amp; PAYKEL HEALTHCARE CORPORATION LIMITED</t>
  </si>
  <si>
    <t>FPH Annual Report 2025_Including Climate Statements.pdf</t>
  </si>
  <si>
    <t>BANK OF NEW ZEALAND</t>
  </si>
  <si>
    <t>BNZ Climate Statements 2024.pdf</t>
  </si>
  <si>
    <t>CHRISTCHURCH INTERNATIONAL AIRPORT LIMITED</t>
  </si>
  <si>
    <t>CIALTS25007 Climate Related Disclosure FINAL.pdf</t>
  </si>
  <si>
    <t>FONTERRA CO-OPERATIVE GROUP LIMITED</t>
  </si>
  <si>
    <t>01. FONTERRA133 2024 Annual Report_NZX.pdf</t>
  </si>
  <si>
    <t>Orderly;
Disorderly;
Hot house</t>
  </si>
  <si>
    <t>ICNZ (Insurance Council of New Zealand);  Network for Greening the Financial System (NGFS), Intergovernmental Panel on Climate Change’s; (IPCC) Shared Socio-economic Pathways (SSP);
Climate Change Commission (CCC).</t>
  </si>
  <si>
    <t>PDF name</t>
  </si>
  <si>
    <t>1.8°C by 2100;
2.7°C by 2100;
3.6°C by 2100
relative to 1850-1900
baseline</t>
  </si>
  <si>
    <t xml:space="preserve">Yes - they have picked and mixed </t>
  </si>
  <si>
    <t>ICNZ scenario was a starting point, then internal workshop was held (including EV trends,
reinsurance and government action into scenarios). he Climate Change Commission (CCC).
Policy assumptions were updated to reflect the updated CCC scenarios provided to Central
Government as part of their advice on the Fourth Emissions budget.</t>
  </si>
  <si>
    <t>Carbon prices;
Growth in renewable energy;
EV uptake + electrification;
Growth in forestry;
Economic growth;
Inflation;
Living costs;
Social goal commitment;
Sea level rise</t>
  </si>
  <si>
    <t>Yes - co-produced with New Zealand General insurance sector</t>
  </si>
  <si>
    <t xml:space="preserve"> Finity (storm and coastal inundation modelling) 
Aon (river and surface water flood modelling)
A Computable General Equilibrium (CGE) model created by Victoria University (Melbourne) </t>
  </si>
  <si>
    <t xml:space="preserve">Yes, the volume and severity of claims rises as the increasing frequency and severity of extreme weather events </t>
  </si>
  <si>
    <t>Global and national reference data</t>
  </si>
  <si>
    <t>Short-term (2025-2030); Medium term (2030-2040); Long-term (2040-2050)</t>
  </si>
  <si>
    <t>Yes, the sectoral scenario was chosen and then customised to add relevant information for business.</t>
  </si>
  <si>
    <t>Coastal flooding
Pluvial/fluvial flooding</t>
  </si>
  <si>
    <t>Yes; The modelling included matching address level portfolio data to third-party proprietary databases</t>
  </si>
  <si>
    <t>Flooding and SLR;
Exclude perils such as coastal erosion, wildfire, drought and rain induced landslip that could increase the expected losses from climate impacts due to quality model availability;</t>
  </si>
  <si>
    <t xml:space="preserve">EV exposure sitting at 3.2% of the motor portfolio ; 
55.9% of our total gross
written premium was derived from personal
motor policies;
4.2% of our home
and contents portfolios were classed as either at high risk or at very high risk of flooding, </t>
  </si>
  <si>
    <t>Exposure level</t>
  </si>
  <si>
    <t>Financial impact level</t>
  </si>
  <si>
    <t>Not mentioned explicitly although there is a discussion about AALs but no results
Financial margins (household disposable income minus non-discretionary expenditure) and use Stats NZ projected forwards using assumptions for inflation, wage growth and
cost growth. 
Insurance affordability</t>
  </si>
  <si>
    <t>New insurance product offering;
Government and coomunity advocacy</t>
  </si>
  <si>
    <t>Orderly scenario, 1.5°C (ICCP SSP 1, RCP12 2.6);
Disorderly scenario, 2°C (ICCP SSP 2, RCP 4.5);
Hot House world scenario, 3+°C (ICCP SSP 3, RCP 7.0);</t>
  </si>
  <si>
    <t>Short-term (2030); Medium term (2040); Long-term (2050)</t>
  </si>
  <si>
    <t xml:space="preserve">Flood (surface, riverine);
Storm wind (storm and ex-tropical cyclones)
Coastal inundation </t>
  </si>
  <si>
    <t>1.5oC;
&gt;2oC;
&gt;3oC;</t>
  </si>
  <si>
    <t xml:space="preserve">Yes, but explosure only. AALs are projected
to increase under each scenario due to the increased frequency of severe weather events.
Increases to AALs are  predominantly due to flooding and coastal inundation, whereas the AALs for storm are not projected to change materially under the three scenarios. No numbers were shown.
</t>
  </si>
  <si>
    <t>Analysis of physical risk indicates an increase
of between 19% and 26% in AAL from weatherrelated
perils (flood, storm, and coastal
inundation) by 2050.</t>
  </si>
  <si>
    <t>Risk level</t>
  </si>
  <si>
    <t>Natural hazards claims totalled
$70m for FY25.
Vero’s placed catastrophe
reinsurance cost for FY25 was
$344m, an increase of 3% from FY24</t>
  </si>
  <si>
    <t>Opportunities to offer parametric
insurance for specified physical risks.
Advocating for climate
adaptation and resilience
Partnering with banks to better align lending and insurance practices</t>
  </si>
  <si>
    <t>Yes, analysis of physical risk indicates an increase
of between 19% and 26% in AAL from weatherrelated
perils (flood, storm, and coastal
inundation) by 2050.
1.5% of our residential and commercial property portfolio value is currently vulnerable to high flood risk.</t>
  </si>
  <si>
    <t>JBA Flood (riverine,
surface water) model 
NIWA coastal inundation 
NIWA, ERA storm model 
GCM modes such as ACCESS-CM2, EC-Earth3, NorESM2-MM,
GFDL-ESM4, AWI-CM1-1-MR, CNRM-CM6-1
Vero’s inforce exposures 
Finity’s Finperils modelling suite</t>
  </si>
  <si>
    <t>No mentions of baseline scenario</t>
  </si>
  <si>
    <t>No mentions of baseline scenario, although mention of baseline years</t>
  </si>
  <si>
    <t>Emissions pricing;
Energy price;
Adaptation policy for building resilience to SLR;
Natural Hazards Commission
Toka Tū Ake (NHC) scheme’s coverage;
Flood levy;
cost-of-living;
reinsurance withdrawn;
Global food and water shortages</t>
  </si>
  <si>
    <t>Yes, Storm wind (storms and ex-tropical cyclones) was mentioned</t>
  </si>
  <si>
    <t>No mentioned.
Climate Change Commission (CCC)
scenarios</t>
  </si>
  <si>
    <t>Yes, Shared Sector Scenarios developed by the Insurance Council of New Zealand.</t>
  </si>
  <si>
    <t>Yes, for the Hot House world scenario, SSP 3-7.0 was used  because there are no
physical climate layers for the SSP5-8.5 scenario, RCP 8.5 produces temperature outcomes that are arguably too extreme.</t>
  </si>
  <si>
    <t>Global and national data</t>
  </si>
  <si>
    <t>Yes, RCP-SSP, but also include Climate Change Commission (CCC) scenarios</t>
  </si>
  <si>
    <t>While New Zealand, Fiji and Samoa experienced severe
weather events, overall claims costs related to large
events in FY25 was $6.9m, substantially below the
five- and ten-year rolling average shown in the graph
adjacent and well within the allocated large event
allowance of $50m for FY25.</t>
  </si>
  <si>
    <t>Orderly 1.5ºC;
Disorderly &gt;2ºC;
Hothouse &gt;3ºC</t>
  </si>
  <si>
    <t>IPCC;
RCP;
ICNZ Shared Climate Scenarios for the Insurance Sector.</t>
  </si>
  <si>
    <t>Yes, RCP6.0 was matched to IPCC SSP3-7.0</t>
  </si>
  <si>
    <t>Yes, for instance, most commonly used scenario by financial
institutions globally; Aligned with scenarios already selected by
ICNZ for the General Insurance Sector (and
other sectors); Meets XRB’s requirement for a 1.5ºC aligned
scenario.</t>
  </si>
  <si>
    <t>Short-term (2023-2025);
Medium-term (2026-2035);
Long-term (2036-2050)</t>
  </si>
  <si>
    <t>Yes; The modelling included AAL at house-level</t>
  </si>
  <si>
    <t>Mean annual temperature
change;
Mean sea level rise;
Severity of physical risk;
Severity of transition risk;
Policy reaction;
Regional policy variation;
Technology change;
Carbon dioxide removal;
Labour productivity due to heat stress;
NZ land exposed to flooding;
Snowfall
Days above 25°C
NZ GDP
NZ population
Carbon price
Travel by EVs
Change in person-km travel</t>
  </si>
  <si>
    <t>Yes, combined from mutliple sources</t>
  </si>
  <si>
    <t>NGFS Climate impact explorer</t>
  </si>
  <si>
    <t>No information is show</t>
  </si>
  <si>
    <t>Yes, acute, such as those related to large weather events mentioned</t>
  </si>
  <si>
    <t>No, internally. These scenarios were analysed in a series of workshops by a selected cross-functional group of Tower executives and senior leaders in FY23.</t>
  </si>
  <si>
    <t xml:space="preserve">ICNZ scenarios ;
IPCC;
RCP;
NGFS;
Climate Change Commission;
Shared Policy Assumptions for New Zealand (SPANZ) 
</t>
  </si>
  <si>
    <t xml:space="preserve">Global (NGFS Climate impact explorer) and national data (Ministry for the Environment.(2017), Climate Change Projections for New Zealand) </t>
  </si>
  <si>
    <t>Not mention</t>
  </si>
  <si>
    <t>No opportuniites related to physical hazards</t>
  </si>
  <si>
    <t xml:space="preserve">% of high flood risk homes insured was mentioned, but no inofrmation is shown
</t>
  </si>
  <si>
    <t>flood, sea-surge,
landslide.</t>
  </si>
  <si>
    <t>Q1 — List of scenarios</t>
  </si>
  <si>
    <t>Q2 — Global temperature outcome by 2100</t>
  </si>
  <si>
    <t>Q3 — Scenario provider</t>
  </si>
  <si>
    <t>Q4 — Pick-and-mix of SSPs and RCPs</t>
  </si>
  <si>
    <t>Q5 — Customised scenarios</t>
  </si>
  <si>
    <t>Q7 — Baseline scenarios</t>
  </si>
  <si>
    <t>Q8 — Model used</t>
  </si>
  <si>
    <t>Q9 — Damage from acute physical risk considered</t>
  </si>
  <si>
    <t>Q10 — Non-temperature variables in scenarios</t>
  </si>
  <si>
    <t>Q11 — Scale of scenarios</t>
  </si>
  <si>
    <t>Q12 — Time frames</t>
  </si>
  <si>
    <t>Q13 — Justification for scenario/model choice</t>
  </si>
  <si>
    <t>Q6 — Co-produced climate scenarios</t>
  </si>
  <si>
    <t>Extra from Quyen just for fun</t>
  </si>
  <si>
    <t>Q14 - Historic climate impacts  </t>
  </si>
  <si>
    <t>Historic climate impacts  </t>
  </si>
  <si>
    <t>Q15 - Direct and indirect physical climate risks</t>
  </si>
  <si>
    <t>Direct and indirect physical climate risks</t>
  </si>
  <si>
    <t>Orderly Transition;
Too Little, Too Late;
Hot House World</t>
  </si>
  <si>
    <t>1.5°C by 2100;
3.2°C by 2100;
4.4° by 2100</t>
  </si>
  <si>
    <t>New Zealand Banking Association scenario;
IPCC;
NGFS;</t>
  </si>
  <si>
    <t>No, internally. Initial scenario analyis was taken qualitatively with the SME internally. Climate scenario was designed with separate scenario analysis sessions with our ET and Board. Scenario was get from NZ banking sector though.</t>
  </si>
  <si>
    <t>both; value chain was mentioned, however, climate-related risks in supply chain as a result of
emissions from most material third party supplier profiles are excluded</t>
  </si>
  <si>
    <t>Yes, baseline chosen scenario of Too Little, Too Late (SSP2-4.5)</t>
  </si>
  <si>
    <t>Yes, on the flood damage (2024, the East Coast and Hawke's Bay regions experienced extreme weather events)
Auckland Anniversary Weekend
floods and Cyclone Gabrielle.</t>
  </si>
  <si>
    <t xml:space="preserve">10% or more, as well as general exposure to coastal erosion under NIWA’s Coastal Sensitivity Index
2.18% of residential mortgage potfolio is categorised as high risk properties to rainfall-flooding (present-day)
</t>
  </si>
  <si>
    <t>2.48% of residential mortgage potfolio is categorised as high risk properties to rainfall-flooding (2045)
2.1% residential property at heightened risk of
sea-level rise by 2050
4.0% residential property at heightened risk of
sea-level rise by 2050
3.4% agricultural lending at risk of SLR by 2050</t>
  </si>
  <si>
    <t>Sea-level rise;
Coastal erosion;
Pluvial flooding</t>
  </si>
  <si>
    <t>Yes.</t>
  </si>
  <si>
    <t>Yes, rainfall-induced
flooding heatwaves
and flooding, the increased intensity of storm damage, altered precipitation and higher temperatures</t>
  </si>
  <si>
    <t>carbon price;
agricultural production;
Carbon sequestration;
agricultural profitability;
decreased ability to repay;
asset values;
rising sea levels; 
associated flooding; 
erosion</t>
  </si>
  <si>
    <t>NIWA coastal flooding 
NIWA coastal erosion model
NIWA’s Coastal Sensitivity Index
External climate specialist data
provider</t>
  </si>
  <si>
    <t>short term (0-1 year);
medium term (1-5 years);
long term (5 years+)</t>
  </si>
  <si>
    <t>No, although engaged an external consultant (Deloitte) to help with scenario development and analysis, including
providing data and modelling, facilitating scenario workshops and contributing to scenario narrative writing.No other external partners or stakeholders were involved.</t>
  </si>
  <si>
    <t>Orderly – 1.4°C at 2100;
Too Little, Too Late – 2.7°C at 2100;
Hothouse World – 4.4°C at 2100</t>
  </si>
  <si>
    <t xml:space="preserve"> 1.4°C at 2100;
2.7°C at 2100;
 4.4°C at 2100</t>
  </si>
  <si>
    <t>Yes, in hot-house world, SSP5-8.5 was also linked with New Zealand Climate Projections Dataset (SSP3-7.0)</t>
  </si>
  <si>
    <t>No baseline was mentioned</t>
  </si>
  <si>
    <t>short-term (2025-2030);
medium-term (2031-2050);
long-term (2051-2100)</t>
  </si>
  <si>
    <t>carbon pricing;
green stimulus funding,
carbon-border tak;
interest rate;
GDP;
foreign investment;
risk-based pricing;
property values;
insurance and reinsurance costs;
demand for low-emission assets;
increases in extreme weather;
tipping points</t>
  </si>
  <si>
    <t>Coastal flooding;
Inland flooding</t>
  </si>
  <si>
    <t>1.9% of home lending expousure to coastal flood risk  2030;
2.4% of home lending exposure to coastal flood risk by 2050
0.6% of home lending exposure to inland flooding as of presnet day</t>
  </si>
  <si>
    <t>regional/local   (NIWA)</t>
  </si>
  <si>
    <t>Both (NIWA;NGFS;NZBA; NZSea rise)</t>
  </si>
  <si>
    <t>Deloitte D.Climate CGE model
NIWA coastal flood map
NIWA New Zealand Climate Projections Dataset
NZ SeaRise maps</t>
  </si>
  <si>
    <t>IPCC;
NGFS;
NIWA; 
SPANZ</t>
  </si>
  <si>
    <t>Yes, severe floods, landslides and droughts</t>
  </si>
  <si>
    <t>Yes. They are based on generally accepted scenario archetypes. Justification for incorporated climate tipping points into our Hothouse World scenario.</t>
  </si>
  <si>
    <t>NO, Kiwibank experienced no material impacts, or material financial impacts, from physical events related to climate change during FY25.</t>
  </si>
  <si>
    <t>both: Economy weakens and is subject to supply chain shocks and price spikes was mentioned</t>
  </si>
  <si>
    <t>short-term 2025 to 2030;
medium-term 2031-2040;
long-term 2041-2050</t>
  </si>
  <si>
    <t>Yes, mention of Sector
Working Groups, consisting of colleagues from across the bank
representing core BNZ functions, sector experts, and functional
representatives from strategy, finance, risk, analytics, and sustainability</t>
  </si>
  <si>
    <t>1.5°C at 2100;
2.1°C at 2100;
3.4°C at 2100;</t>
  </si>
  <si>
    <t>Ruapehu;
Rangitoto;
Taupō</t>
  </si>
  <si>
    <t>Yes, start from New Zealand Banking Association – Te Rangapū Pēke, New Zealand banking sector climate scenario narratives and internally revised</t>
  </si>
  <si>
    <t>country credit ratings;
emissions tariffs;
cost of capital;
crop production;
carbon-efficient farming ;
livestock sector</t>
  </si>
  <si>
    <t>Yes, flood, coastal indunation; droughts</t>
  </si>
  <si>
    <t>Yes; multiple severe weather events across New Zealand, including flooding and drought such as severe rainfall in Otago and Southland in October 2024, 2023 Auckland Anniversary Floods and Cyclone Gabrielle</t>
  </si>
  <si>
    <t>Exposure to fluvial and pluvial flooding assessed as percentage of the total number of
residential properties.</t>
  </si>
  <si>
    <t>both: Credit risk -
physical impacts to customer supply chains was mentioned</t>
  </si>
  <si>
    <t>Yes. The three narratives were developed, with external support7, to help BNZ explore a broad range of challenging but  plausible futures</t>
  </si>
  <si>
    <t>14% residential properties exposed to pluvial/fluvial flooding;
28% commercial properties exposed to pluvial/fluvial flooding;
58% rurral properties exposed to pluvial flooding
Less than 1% of
assessed residential properties securing BNZ loans are exposed
to sea level rise by 2050.
Less than 1% of assessed
commercial properties securing BNZ loans are exposed to sea
level rise by 2050.
5% of properties exposed to one
or more physical risk (flood,
coastal inundation, sea level
rise, drought or livestock
heat stress) at 2050</t>
  </si>
  <si>
    <t xml:space="preserve">New Zealand banking sector;
IPCC Shared Socioeconomic
Pathways
CCC pathway
</t>
  </si>
  <si>
    <t xml:space="preserve">Coupled Model Intercomparison Project CMIP6
ClimSystems Ltd </t>
  </si>
  <si>
    <t>NO</t>
  </si>
  <si>
    <t>Both (NIWA;
ClimSystems Ltd  but also CMIP6)</t>
  </si>
  <si>
    <t>Aotearoa Circle Energy Sector Climate Change Scenarios;
Intergovernmental Panel on Climate Change (IPCC);
Network for Greening the Financial System (NGFS) hypothetical scenarios;
International Energy Agency (IEA) 2023 World Energy Outlook;
Climate Change Commission (CCC)</t>
  </si>
  <si>
    <t xml:space="preserve">Hot House;
Slow Followers;
Trailblazers;
Coordinated Effort
</t>
  </si>
  <si>
    <t>1.5oC;
2.2oC;
2.5oC;
3.3oC</t>
  </si>
  <si>
    <t>Yes. The scenarios described below align with scenario  architectures and time horizons
used in wider energy sector scenario analysis</t>
  </si>
  <si>
    <t>Yes, Precipitation is our fuel – we are dependent on rainfall for generating electricity, so extreme weather events that involve high levels of rainfall.</t>
  </si>
  <si>
    <t xml:space="preserve">Yes, starting from The Aotearoa Circle Energy Sector climate scenarios. </t>
  </si>
  <si>
    <t>Yes, mention several workshops with internal stakeholders and external advisors.</t>
  </si>
  <si>
    <t>socioeconomic divider;
global economic growth;
fuel costs;
Consumer preferences;
Access to insurance;
Afforestation; 
Nature-based solutions (NbS);
Technology change</t>
  </si>
  <si>
    <t>Short-term (2024-2030);
Medium-term (2031-2050);
Long-term (2051-2100)</t>
  </si>
  <si>
    <t>both: value-change were included, but some participant/entity were excluded for the purposes of CRRO identification and analysis on a materiality basis. Impact of severe acute weather events on third
parties are considered</t>
  </si>
  <si>
    <t>Not mentioned; just say high-level modelling</t>
  </si>
  <si>
    <t>No asset-level risk</t>
  </si>
  <si>
    <t>Yes, Premium rates have increased slightly in FY25; Damage from Cyclone Gabrielle of approximately
$2.1m (of which $1.6m was covered by insurance
revenue) and lost revenue in FY25 of $0.5m</t>
  </si>
  <si>
    <t>Yes, mention participation in both the construction and property sector, and the health sector scenario creation processes.</t>
  </si>
  <si>
    <t>Yes, run a stand-alone process for scenario analysis.</t>
  </si>
  <si>
    <t>Short term (2023–2030)
Medium (2031–2050) 
Long (2051–2100)</t>
  </si>
  <si>
    <t>ORDERLY 1.5°C;
DISORDERLY 2.0°C;
HOT -HOUSE WORLD 3.0°C</t>
  </si>
  <si>
    <t>1.0–1.8°C;
1.3–2.4°C;
2.8–4.6°C</t>
  </si>
  <si>
    <t xml:space="preserve">Not sure </t>
  </si>
  <si>
    <t>Yes; RCP 8.5 and SSP 3-7.0 are combined</t>
  </si>
  <si>
    <t>IPCC RCP-SSP;
NGFS;
IEA;
CCC</t>
  </si>
  <si>
    <t>Societal and market behaviour;
electrification and sustainable practices;
extreme weather events;
regulations and policies;
rainfall;
sea level rise;
the number of hot days;
Net migration;
Embodied carbon</t>
  </si>
  <si>
    <t>Yes, Storms, wind, flooding, wildfires</t>
  </si>
  <si>
    <t>No; Summerset (including our value chain to the best of our knowledge) did not experience any material physical impacts attributable to climate change in 2024.</t>
  </si>
  <si>
    <t>both: disruption to supply chains (including downstream suppliers).</t>
  </si>
  <si>
    <t>Yes. Additionally, Summerset still maintains the view that a middle perspective, which encompasses a balance of increased transition and physical risks, is the best third scenario</t>
  </si>
  <si>
    <t>NIWA downscaled climate projections</t>
  </si>
  <si>
    <t>Yes;South Island flooding impacted some farmers during September 2023. there was a $0.15m claim for repairs relating to a lightning strike on 29 January 2023 which occurred at the end of
the Auckland Anniversary weather event</t>
  </si>
  <si>
    <t>No, LIC did not enlist the help of external partners and no external stakeholders were involved,</t>
  </si>
  <si>
    <t>Yes. LIC determined that the Aotearoa Circle Agriculture Sector Scenarios were the most relevant and appropriate starting point because they have been
created specifically for agribusinesses operating in New Zealand’s agricultural sector, including LIC</t>
  </si>
  <si>
    <t>No, use the Aotearoa Circle scenario as is</t>
  </si>
  <si>
    <t>Net Zero 2050;
Delayed transition;
Hothouse world</t>
  </si>
  <si>
    <t>1.5oC;
2oC;
&gt;3oC</t>
  </si>
  <si>
    <t>The Aotearoa Circle Agriculture Sector Scenarios;
IPCC RCP-SSP;
Climate Change Commission;
Ministry for the Environment</t>
  </si>
  <si>
    <t xml:space="preserve">Short term (to 2026/27);
Medium term (2027-2035); 
Long term (2036-2050) </t>
  </si>
  <si>
    <t>Both</t>
  </si>
  <si>
    <t>dairy herd size;
Climate policies and innovation;
sustainable diets;
Alternative and lab grown proteins;
Geopolitical tension;
Insurance ;
Funding/capital;
Carbon-border adjustments;
Energy supply; 
Carbon sequestration and afforestation;
Nature based solutions;
Sustainable farms;
Innovation;
Methane inhibitors;
Global population growth</t>
  </si>
  <si>
    <t>both; Supply chain and distribution disruption</t>
  </si>
  <si>
    <t>Yes, Increasing frequency and severity of
extreme weather; Heat stress;</t>
  </si>
  <si>
    <t>No mention of model used</t>
  </si>
  <si>
    <t>Yes; FY23 a severe tropical cyclone occurred in February 2023 on the North Island of New Zealand (Cyclone Gabrielle). Cyclone Gabrielle affected our supply
chain, milk supply and on-farm operations.Costs associated with the cyclone were equivalent
to approximately 1 cent of earnings per share.</t>
  </si>
  <si>
    <t>Yes, worked with PwC to iterate the Aoteroa Circle scenario</t>
  </si>
  <si>
    <t xml:space="preserve">No, In FY24 we built on this work
without the support of external consultants. </t>
  </si>
  <si>
    <t>Orderly (Net zero 2050);
Disorderly (Delayed transition);
Hothouse (Current policies)</t>
  </si>
  <si>
    <t>The Aotearoa Circle’s Agriculture Sector;
Climate Change Scenarios;
IPCC RCP-SSP;
NGFS;
SPANZ</t>
  </si>
  <si>
    <t>1.6°C;
2°C;
3°C</t>
  </si>
  <si>
    <t>extreme rainfall;
sea level rise;
extreme heat;
emission;
electricity from renewable resources;
Global oil price/barrel;
NZ native forestry;
Global temp increase;
Insurance costs;
Financial services;
climate change mitigation policy;
Sustainable farmer practices;
Climate-related litigation risk</t>
  </si>
  <si>
    <t>Yes; Increasing frequency and severity of extreme weather events (eg. flooding
bushfire event)</t>
  </si>
  <si>
    <t>both; Supply chain
disruption Increasing frequency and severity of
extreme weather events impacting
our supply chain.</t>
  </si>
  <si>
    <t>Short-term: 2025-2027;
Medium-term: 2028-2034;
Long-term: 2035-2050</t>
  </si>
  <si>
    <t>Yes. Our Sustainability team held workshops with internal sustainability and business unit subject
matter experts to iterate the drivers of change initially identified by The Aotearoa Circle in light of changes in the New Zealand context and emerging global macrotrends, so that the scenarios remained plausible for a dairy company of our international reach.</t>
  </si>
  <si>
    <t>yes;Auckland floods;Cyclone Gabrielle</t>
  </si>
  <si>
    <t>Yes. Oceania participated as a member of the Technical Working Group in the development 
of climate scenarios on behalf of the construction and property sector coordinated by the New Zealand Green Business Council
(NZGBC) and facilitated by Beca, in 2022- 2023. participated as a member of the Technical Working Group in the development of
climate scenarios on behalf of the healthcare sector, which were facilitated by Tonkin+Taylor
(Climate Scenarios for the Healthcare Sector).</t>
  </si>
  <si>
    <t>Short-term 2024 – 2030;
Medium-term 2030 – 2050;
Long-term 2050 – 2080</t>
  </si>
  <si>
    <t>The Construction and Property Sector Scenarios;
NGFS;
IPCC SSP-RCP;</t>
  </si>
  <si>
    <t>Orderly;
Disorderly;
Hothouse world</t>
  </si>
  <si>
    <t>&lt;1.5°C;
2°C;
 &gt;3°C</t>
  </si>
  <si>
    <t>Government response to climate change;
Building regulations;
Energy grid;
electrification;
labour market;
population grows;
Innovations in the supply chain;
Carbon prices;
low-carbon materials;
land use policies and planning;
affordable housing options;
Spatial planning;
economic environment</t>
  </si>
  <si>
    <t>Yes; Increasing frequency
and intensity of
extreme weather
events including
cyclones, storms
and flooding</t>
  </si>
  <si>
    <t>Both; Potential delays from, and disruption to, supply chain
and development (build/construction) activity.</t>
  </si>
  <si>
    <t>Yes, Oceania's climate scenarios then incorporate driving forces and critical uncertainties prioritised
specifically to Oceania, allowing it to test the resilience of its business model and strategy to climaterelated
risks and opportunities.</t>
  </si>
  <si>
    <t>Yes. Oceania chose these three scenarios as they provided the opportunity to test a range of possible
risks and opportunities under different levels of uncertainty.</t>
  </si>
  <si>
    <t>Outpatient;
Emergency Department;
High-Dependency Unit</t>
  </si>
  <si>
    <t>1.5°C;
2.7°C;
3.6°C</t>
  </si>
  <si>
    <t xml:space="preserve">global population;
gdp growth;
aged population cohort;
electricity from renewable sources;
‘green’ technology;
Regulation &amp; Policy;
Market Conditions;
healthcare investment;
carbon price;
cbam;
climate-resilience requirements;
disruption at our global sites;
the added cost of carbon-friendly
products;
</t>
  </si>
  <si>
    <t>Yes; We chose three Shared Socioeconomic Pathways
(SSPs) scenarios as a means of testing and challenging the resilience of
our business model across a range of plausible climate futures</t>
  </si>
  <si>
    <t>Yes, Using insights from our proprietary
healthcare modelling and insights from global population data, we
estimated patient cohort size and associated medical capacity required for a range of respiratory conditions in each scenario.</t>
  </si>
  <si>
    <t>No, internal only</t>
  </si>
  <si>
    <t>Both; supply chain network disruption freight lane closures, constraints to port access), including the ability of our supply chain partners to provide us with services.</t>
  </si>
  <si>
    <t>Yes, adverse weather events (coastal flooding)</t>
  </si>
  <si>
    <t>Yes. We have begun to see minor supply chain disruption due to
adverse weather events. In March 2025, a cyclone in Taiwan
caused a two-day delay for air freight, the impact was
absorbed as part of our business continuity planning.</t>
  </si>
  <si>
    <t>Short Term (2025-2030), 
Medium Term (2031-2040) 
Long Term (2041 onwards).</t>
  </si>
  <si>
    <t>Global</t>
  </si>
  <si>
    <t>IPCC SSP;
OECD) GDP projections,
IEA;</t>
  </si>
  <si>
    <t>proprietary healthcare market demand modelling.</t>
  </si>
  <si>
    <t>ORDERLY SCENARIO;
DISORDERLY SCENARIO;
HOT HOUSE WORLD</t>
  </si>
  <si>
    <t>+1.5°C;
+2°C;
+3°C</t>
  </si>
  <si>
    <t xml:space="preserve">IPCC SSP;
NGFS;
CCC;
NIWA;
The Aotearoa Circle – Tourism Sector Climate Change Scenarios;
New Zealand Green Building Council – Climate change scenarios for the Construction and Property sector;
The Aotearoa Circle – Transport Sector Climate Change Scenarios;
Air Transport Action Group </t>
  </si>
  <si>
    <t>Yes;SSP1-1.9 meet with RCP2.6, or SSP1-RCP2.6 meet with RCP4.5</t>
  </si>
  <si>
    <t>Yes; To review the scenarios a group of subject matter experts
conducted a workshop and considered changes in the
domestic, global and sectoral scenario context, including
developments in scenario archetypes (including updated
NGFS scenarios, NIWA’s downscaled AR6 data) and
The Aotearoa Circle’s Transport Sector Climate Change
Scenarios (released in June 2024). This workshop resulted
in the driving forces and scenarios agreed in FY24 being
supplemented with additional information.</t>
  </si>
  <si>
    <t>No; To develop the scenarios, a team of subject matter experts from across the business participated in a workshop
session, facilitated by Deloitte, and followed the process
outlined in the table opposite.</t>
  </si>
  <si>
    <t>wet days;
hot days;
extreme winds;
Government priorities;
Infrastructure and energy
needs;
Decarbonisation of air travel;
Emerging technology;
Consumer preferences</t>
  </si>
  <si>
    <t>Short term: (2025- 2030);
Medium term (2030- 2050);
Long term (2050-2100)</t>
  </si>
  <si>
    <t xml:space="preserve">Both </t>
  </si>
  <si>
    <t>No specfic mention; The modelling which is inherent
in these sector scenario archetypes is the extent of the
modelling used by CIAL in its scenario analysis.</t>
  </si>
  <si>
    <t>Yes; Extreme weather
events such as storms
and tropical cyclones
result in disruptions
to the supply chain,
critical work, and
logistics, lost revenue
/ increased costs and
injuries to people.</t>
  </si>
  <si>
    <t>Both; Extreme weather
events such as storms
and tropical cyclones
result in disruptions
to the supply chain,
critical work, and
logistics, lost revenue
/ increased costs and
injuries to people.</t>
  </si>
  <si>
    <t>Yes; CIAL’s view of the key driving forces was determined, with
participants choosing from a long list drawn from various
sector scenarios, including New Zealand Green Building
Council; Aotearoa Circle’s Tourism sector scenarios; and
the Aviation sector’s WayPoint 2050 Technology and
SAF/Fuel availability scenarios. In 2025 driving forces
identified in Aotearoa Circle’s Transport Sector Scenarios
were also considered. The modelling which is inherent
in these sector scenario archetypes is the extent of the
modelling used by CIAL in its scenario analysis.</t>
  </si>
  <si>
    <t>No. No physical risks were identified as having a material impact in the current year.</t>
  </si>
  <si>
    <t>Category</t>
  </si>
  <si>
    <t>Original sample</t>
  </si>
  <si>
    <t>New</t>
  </si>
  <si>
    <t>No mention of historic/current climte impacts;</t>
  </si>
  <si>
    <t xml:space="preserve">Yes; 4.2% of our home
and contents portfolios were classed as either at high risk or at very high risk of flooding, </t>
  </si>
  <si>
    <t>Yes; While New Zealand, Fiji and Samoa experienced severe
weather events, overall claims costs related to large
events in FY25 was $6.9m, substantially below the
five- and ten-year rolling average shown in the graph
adjacent and well within the allocated large event
allowance of $50m for FY25.</t>
  </si>
  <si>
    <t>Yes; Natural hazards claims totalled $70m for FY25.
Vero’s placed catastrophe
reinsurance cost for FY25 was
$344m, an increase of 3% from FY24</t>
  </si>
  <si>
    <t xml:space="preserve">Both: Financial Impact
of Supply Chain
Distributions </t>
  </si>
  <si>
    <t>Yes, In 2023, Z has experienced extreme weather
events, market changes affecting
petrol demand and increased uptake
of Evs. The Auckland
Anniversary Weekend floods and
Cyclone Gabrielle in 2023 caused
localised flooding, major slips on supply routes and communication outages in the Gisborne and Hawke’s Bay regions.
Z estimates the collective impact of Cyclone Gabrielle and the Auckland Anniversary Floods to be approximately $7.4 million, with the majority of costs
relating to lost revenue, additional shipping costs and the last-minute sale of an import cargo.</t>
  </si>
  <si>
    <t>Both: Supply chain disruption
Extreme weather and market disorder causing supply
chain disruption.</t>
  </si>
  <si>
    <t>Both: The scope of operations covered in the scenario analysis process included the full supply chain, comprising of tenants, suppliers, contractors, investors and funders</t>
  </si>
  <si>
    <t>Yes, Cyclone Gabrielle and Auckland Flood although mentioned that despite a majority of PFI’s properties being located in the North Island, PFI experienced relatively limited damage and loss of access to a small number of properties as a result of these event</t>
  </si>
  <si>
    <t>Yes, In early 2023, the flooding experienced in Auckland and Northland, as well
as Cyclone Gabrielle which impacted much of the North Island including the
Hawkes Bay, highlighted New Zealand’s vulnerability to extreme weather events.
Widespread damage impacted infrastructure and supply chains, which came with
a high economic impact from both disaster recovery costs and lost productivity.
As a business, AIA NZ experienced relatively minor disruptions to operations, and
was able to provide support to staff and customers affected by the events.</t>
  </si>
  <si>
    <t>Both: Global socioeconomic impacts (lost
productivity, disaster relief, financial system
instability) and supply chain disruption</t>
  </si>
  <si>
    <t>Both: Global socioeconomic impacts (lost productivity, disaster relief, financial system
instability) and supply chain disruption</t>
  </si>
  <si>
    <t>Yes; Auckland Anniversary Day flood events; Cyclone Gabrielle, State of Eemrgycy, in South-easten Otago drought in Feb 2203</t>
  </si>
  <si>
    <t>Both: Physical risks lead to
disruptions in supply chain</t>
  </si>
  <si>
    <t>Yes: Our corporate operations did not experience any material
physical impacts from climate in 2023. There were two instances
in which the Auckland office was not available due to serious
inclement weather. During these significant events, we also
encouraged staff to prioritise their safety and wellbeing. As
a result, there was minor disruption to our usual operations</t>
  </si>
  <si>
    <t>Both: Potential impacts on our ability to acquire new customers and therefore possible impacts on Chubb Life’s profitability as a result of challenges in the distribution model from weather
events.</t>
  </si>
  <si>
    <t>Yes: Recent weather incidents such as Cyclone Gabrielle affected the East Coast of the North Island near where we have land holdings and while our operations were not affected, we have reflected on how a similar incident might cause impacts on our land holdings and development works.</t>
  </si>
  <si>
    <t>Both: We may need to take into account potential disruption
with delays or compromised infrastructure which is not supplied by us or disruption to transportation networks</t>
  </si>
  <si>
    <t>Both: In our assumptions we would expect a level of guest disruption with delays or compromised infrastructure or
disruption to transportation networks.</t>
  </si>
  <si>
    <t>Yes; Extreme weather events -
Auckland floods (Jan 2023) and
Cyclone Gabrielle (Feb 2023</t>
  </si>
  <si>
    <t>Direct; supply chain is only mentioned in transtion risk</t>
  </si>
  <si>
    <t>Yes: Cyclone Gabrielle, which hit New Zealand from 12-14 February 2023, delivered 240mm of rainfall, with the region recording over 400% of normal rainfall over the summer period. Researchers, supported by the Ministry for Business Innovation and Employment have indicated that climate change played a distinct role in the development of Cyclone Gabrielle4.
In addition to a brief power outage on site, a security fence on the coastal boundary was damaged as Bream Bay recorded waves of 11-12 metres. Pre-emptive drainage (surface and sub-surface) clearing around the pipeline and early investment to improve the waste and storm water networks on site, including an investment of c.$25 million in recent years, helped ensure there was limited impact to the site infrastructure</t>
  </si>
  <si>
    <t>Both: indirect risk to external infrastrucutre</t>
  </si>
  <si>
    <t>Yes; Due to the extensive flooding and property damage caused by the severe weather events (i.e., the Auckland Anniversary weekend floods in January 2023 and Cyclone Gabrielle in February 2023), Citi NZ was unable to access the physical office building it leases in downtown Auckland. Citi NZ staff have had to transition towards working from home and adapt to provide services to clients online rather than face
to face</t>
  </si>
  <si>
    <t>Both:  Disruption
to electricity supply
may impact call and
data centres</t>
  </si>
  <si>
    <t>Both: The cost of claims also rises, not only due to the rising volumes, but price inflation
from national and international supply chain shortages as a result of local and global extreme weather events.</t>
  </si>
  <si>
    <t>Both; These outcomes
can impact the affordability and
availability of insurance for our
customers</t>
  </si>
  <si>
    <t>Both: Diminished customer
experience leads
to brand and
reputational impact</t>
  </si>
  <si>
    <t>Yes; Vista Group experienced a minor productivity impact as an indirect result of the extreme
weather events in New Zealand that occurred in January and February 2023, which impacted a small number of our people. The financial impact of this event
was assessed as not being material for Vista Group.</t>
  </si>
  <si>
    <t>Both; mention both direct and indirect impacts</t>
  </si>
  <si>
    <t>Folder_Name</t>
  </si>
  <si>
    <t>AA_INSURANCE_LIMITED_2025</t>
  </si>
  <si>
    <t>VERO_INSURANCE_NEW_ZEALAND_LIMITED_2025</t>
  </si>
  <si>
    <t>TOWER_LIMITED_2024</t>
  </si>
  <si>
    <t>WESTPAC_NEW_ZEALAND_LIMITED_2024</t>
  </si>
  <si>
    <t>KIWIBANK_LIMITED_2025</t>
  </si>
  <si>
    <t>BANK_OF_NEW_ZEALAND_2024</t>
  </si>
  <si>
    <t>MANAWA_ENERGY_LIMITED_2025</t>
  </si>
  <si>
    <t>SUMMERSET_GROUP_HOLDINGS_LIMITED_2024</t>
  </si>
  <si>
    <t>LIVESTOCK_IMPROVEMENT_CORPORATION_LIMITED_2025</t>
  </si>
  <si>
    <t>FONTERRA_CO-OPERATIVE_GROUP_LIMITED_2024</t>
  </si>
  <si>
    <t>OCEANIA_HEALTHCARE_LIMITED_2025</t>
  </si>
  <si>
    <t>FISHER__PAYKEL_HEALTHCARE_CORPORATION_LIMITED_2025</t>
  </si>
  <si>
    <t>CHRISTCHURCH_INTERNATIONAL_AIRPORT_LIMITED_2025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</si>
</sst>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scheme val="minor"/>
    </font>
    <font>
      <b/>
      <sz val="11"/>
      <color theme="1"/>
      <name val="Calibri"/>
      <family val="2"/>
      <scheme val="minor"/>
    </font>
    <font>
      <b/>
      <sz val="14"/>
      <color theme="1"/>
      <name val="Calibri"/>
      <family val="2"/>
      <scheme val="minor"/>
    </font>
    <font>
      <b/>
      <sz val="11"/>
      <color theme="1"/>
      <name val="Calibri"/>
      <scheme val="minor"/>
    </font>
    <font>
      <b/>
      <sz val="11"/>
      <color rgb="FF000000"/>
      <name val="Calibri"/>
      <scheme val="minor"/>
    </font>
    <font>
      <b/>
      <sz val="11"/>
      <color rgb="FFFF0000"/>
      <name val="Calibri"/>
      <scheme val="minor"/>
    </font>
    <font>
      <sz val="11"/>
      <color rgb="FF000000"/>
      <name val="Calibri"/>
      <scheme val="minor"/>
    </font>
    <font>
      <i/>
      <sz val="11"/>
      <color rgb="FF000000"/>
      <name val="Calibri"/>
      <scheme val="minor"/>
    </font>
    <font>
      <sz val="12"/>
      <name val="Calibri"/>
      <family val="2"/>
      <scheme val="minor"/>
    </font>
    <font>
      <sz val="12"/>
      <name val="Calibri"/>
      <family val="2"/>
    </font>
    <font>
      <i/>
      <sz val="12"/>
      <name val="Calibri"/>
      <family val="2"/>
    </font>
    <font>
      <b/>
      <sz val="12"/>
      <color rgb="FFC00000"/>
      <name val="Calibri"/>
      <family val="2"/>
      <scheme val="minor"/>
    </font>
    <font>
      <b/>
      <sz val="12"/>
      <color theme="0"/>
      <name val="Calibri"/>
      <family val="2"/>
      <scheme val="minor"/>
    </font>
    <font>
      <b/>
      <sz val="12"/>
      <name val="Calibri"/>
      <family val="2"/>
      <scheme val="minor"/>
    </font>
    <font>
      <i/>
      <sz val="12"/>
      <name val="Calibri"/>
      <family val="2"/>
      <scheme val="minor"/>
    </font>
    <font>
      <sz val="12"/>
      <color theme="1"/>
      <name val="Aptos"/>
      <family val="2"/>
    </font>
    <font>
      <sz val="9"/>
      <color rgb="FF333333"/>
      <name val="Consolas"/>
      <family val="3"/>
    </font>
  </fonts>
  <fills count="14">
    <fill>
      <patternFill patternType="none"/>
    </fill>
    <fill>
      <patternFill patternType="gray125"/>
    </fill>
    <fill>
      <patternFill patternType="solid">
        <fgColor theme="9"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4"/>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rgb="FF00B050"/>
        <bgColor indexed="64"/>
      </patternFill>
    </fill>
    <fill>
      <patternFill patternType="solid">
        <fgColor theme="4" tint="-0.499984740745262"/>
        <bgColor indexed="64"/>
      </patternFill>
    </fill>
    <fill>
      <patternFill patternType="solid">
        <fgColor rgb="FFFFFF00"/>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75">
    <xf numFmtId="0" fontId="0" fillId="0" borderId="0" xfId="0"/>
    <xf numFmtId="0" fontId="0" fillId="0" borderId="0" xfId="0" applyAlignment="1">
      <alignment wrapText="1"/>
    </xf>
    <xf numFmtId="0" fontId="3" fillId="0" borderId="0" xfId="0" applyFont="1" applyAlignment="1">
      <alignment horizontal="center"/>
    </xf>
    <xf numFmtId="0" fontId="2"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wrapText="1"/>
    </xf>
    <xf numFmtId="0" fontId="2" fillId="0" borderId="1" xfId="0" applyFont="1" applyBorder="1" applyAlignment="1">
      <alignment horizontal="center" vertical="center"/>
    </xf>
    <xf numFmtId="0" fontId="0" fillId="0" borderId="1" xfId="0" applyBorder="1" applyAlignment="1">
      <alignment vertical="top" wrapText="1"/>
    </xf>
    <xf numFmtId="0" fontId="0" fillId="0" borderId="1" xfId="0" quotePrefix="1" applyBorder="1" applyAlignment="1">
      <alignment vertical="top" wrapText="1"/>
    </xf>
    <xf numFmtId="0" fontId="0" fillId="0" borderId="1" xfId="0" applyBorder="1" applyAlignment="1">
      <alignment horizontal="left" vertical="top" wrapText="1"/>
    </xf>
    <xf numFmtId="0" fontId="0" fillId="2" borderId="1" xfId="0" applyFill="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0" fillId="0" borderId="2" xfId="0" applyBorder="1" applyAlignment="1">
      <alignment vertical="top" wrapText="1"/>
    </xf>
    <xf numFmtId="0" fontId="4" fillId="6" borderId="1" xfId="0" applyFont="1" applyFill="1" applyBorder="1" applyAlignment="1">
      <alignment horizontal="center" vertical="center" wrapText="1"/>
    </xf>
    <xf numFmtId="0" fontId="7" fillId="0" borderId="2" xfId="0" applyFont="1" applyBorder="1" applyAlignment="1">
      <alignment vertical="top" wrapText="1"/>
    </xf>
    <xf numFmtId="0" fontId="12" fillId="0" borderId="0" xfId="0" applyFont="1" applyAlignment="1">
      <alignment vertical="top" wrapText="1"/>
    </xf>
    <xf numFmtId="0" fontId="13" fillId="8" borderId="0" xfId="0" applyFont="1" applyFill="1" applyAlignment="1">
      <alignment vertical="top"/>
    </xf>
    <xf numFmtId="0" fontId="13" fillId="8" borderId="0" xfId="0" applyFont="1" applyFill="1" applyAlignment="1">
      <alignment vertical="top" wrapText="1"/>
    </xf>
    <xf numFmtId="0" fontId="9" fillId="0" borderId="0" xfId="0" applyFont="1" applyAlignment="1">
      <alignment horizontal="left" vertical="top" wrapText="1"/>
    </xf>
    <xf numFmtId="0" fontId="9" fillId="0" borderId="3" xfId="0" applyFont="1" applyBorder="1" applyAlignment="1">
      <alignment horizontal="left" vertical="top" wrapText="1"/>
    </xf>
    <xf numFmtId="0" fontId="9" fillId="9" borderId="0" xfId="0" applyFont="1" applyFill="1" applyAlignment="1">
      <alignment horizontal="left" vertical="top" wrapText="1"/>
    </xf>
    <xf numFmtId="0" fontId="9" fillId="0" borderId="0" xfId="0" applyFont="1" applyAlignment="1">
      <alignment vertical="top" wrapText="1"/>
    </xf>
    <xf numFmtId="0" fontId="9" fillId="9" borderId="0" xfId="0" applyFont="1" applyFill="1" applyAlignment="1">
      <alignment vertical="top" wrapText="1"/>
    </xf>
    <xf numFmtId="0" fontId="13" fillId="10" borderId="0" xfId="0" applyFont="1" applyFill="1" applyAlignment="1">
      <alignment vertical="top" wrapText="1"/>
    </xf>
    <xf numFmtId="0" fontId="9" fillId="9" borderId="3" xfId="0" applyFont="1" applyFill="1" applyBorder="1" applyAlignment="1">
      <alignment horizontal="left" vertical="top" wrapText="1"/>
    </xf>
    <xf numFmtId="0" fontId="9" fillId="0" borderId="4" xfId="0" applyFont="1" applyBorder="1" applyAlignment="1">
      <alignment vertical="top" wrapText="1"/>
    </xf>
    <xf numFmtId="0" fontId="9" fillId="0" borderId="3" xfId="0" applyFont="1" applyBorder="1" applyAlignment="1">
      <alignment vertical="top" wrapText="1"/>
    </xf>
    <xf numFmtId="0" fontId="9" fillId="9" borderId="4" xfId="0" applyFont="1" applyFill="1" applyBorder="1" applyAlignment="1">
      <alignment vertical="top" wrapText="1"/>
    </xf>
    <xf numFmtId="0" fontId="10" fillId="0" borderId="3" xfId="0" applyFont="1" applyBorder="1" applyAlignment="1">
      <alignment vertical="top" wrapText="1"/>
    </xf>
    <xf numFmtId="0" fontId="14" fillId="0" borderId="0" xfId="0" applyFont="1" applyAlignment="1">
      <alignment vertical="top"/>
    </xf>
    <xf numFmtId="0" fontId="9" fillId="0" borderId="0" xfId="0" applyFont="1" applyAlignment="1">
      <alignment vertical="top"/>
    </xf>
    <xf numFmtId="0" fontId="13" fillId="0" borderId="0" xfId="0" applyFont="1" applyAlignment="1">
      <alignment vertical="top"/>
    </xf>
    <xf numFmtId="0" fontId="14" fillId="7" borderId="0" xfId="0" applyFont="1" applyFill="1" applyAlignment="1">
      <alignment vertical="top"/>
    </xf>
    <xf numFmtId="0" fontId="9" fillId="7" borderId="0" xfId="0" applyFont="1" applyFill="1" applyAlignment="1">
      <alignment vertical="top"/>
    </xf>
    <xf numFmtId="0" fontId="14" fillId="7" borderId="0" xfId="0" applyFont="1" applyFill="1" applyAlignment="1">
      <alignment vertical="top" wrapText="1"/>
    </xf>
    <xf numFmtId="0" fontId="14" fillId="7" borderId="3" xfId="0" applyFont="1" applyFill="1" applyBorder="1" applyAlignment="1">
      <alignment vertical="top" wrapText="1"/>
    </xf>
    <xf numFmtId="0" fontId="14" fillId="7" borderId="3" xfId="0" applyFont="1" applyFill="1" applyBorder="1" applyAlignment="1">
      <alignment vertical="top"/>
    </xf>
    <xf numFmtId="0" fontId="14" fillId="7" borderId="4" xfId="0" applyFont="1" applyFill="1" applyBorder="1" applyAlignment="1">
      <alignment vertical="top" wrapText="1"/>
    </xf>
    <xf numFmtId="0" fontId="14" fillId="7" borderId="4" xfId="0" applyFont="1" applyFill="1" applyBorder="1" applyAlignment="1">
      <alignment vertical="top"/>
    </xf>
    <xf numFmtId="0" fontId="9" fillId="0" borderId="4" xfId="0" applyFont="1" applyBorder="1" applyAlignment="1">
      <alignment horizontal="left" vertical="top" wrapText="1"/>
    </xf>
    <xf numFmtId="0" fontId="9" fillId="9" borderId="4" xfId="0" applyFont="1" applyFill="1" applyBorder="1" applyAlignment="1">
      <alignment horizontal="left" vertical="top" wrapText="1"/>
    </xf>
    <xf numFmtId="0" fontId="9" fillId="0" borderId="0" xfId="0" applyFont="1" applyAlignment="1">
      <alignment horizontal="left" vertical="top"/>
    </xf>
    <xf numFmtId="0" fontId="14" fillId="0" borderId="0" xfId="0" applyFont="1" applyAlignment="1">
      <alignment vertical="top" wrapText="1"/>
    </xf>
    <xf numFmtId="0" fontId="9" fillId="0" borderId="0" xfId="0" quotePrefix="1" applyFont="1" applyAlignment="1">
      <alignment vertical="top" wrapText="1"/>
    </xf>
    <xf numFmtId="0" fontId="9" fillId="7" borderId="0" xfId="0" applyFont="1" applyFill="1" applyAlignment="1">
      <alignment horizontal="left" vertical="top" wrapText="1"/>
    </xf>
    <xf numFmtId="0" fontId="9" fillId="7" borderId="0" xfId="0" applyFont="1" applyFill="1" applyAlignment="1">
      <alignment vertical="top" wrapText="1"/>
    </xf>
    <xf numFmtId="0" fontId="10" fillId="7" borderId="0" xfId="0" applyFont="1" applyFill="1" applyAlignment="1">
      <alignment vertical="top" wrapText="1"/>
    </xf>
    <xf numFmtId="0" fontId="14" fillId="11" borderId="0" xfId="0" applyFont="1" applyFill="1" applyAlignment="1">
      <alignment vertical="top" wrapText="1"/>
    </xf>
    <xf numFmtId="0" fontId="14" fillId="11" borderId="0" xfId="0" applyFont="1" applyFill="1" applyAlignment="1">
      <alignment vertical="top"/>
    </xf>
    <xf numFmtId="0" fontId="9" fillId="11" borderId="0" xfId="0" applyFont="1" applyFill="1" applyAlignment="1">
      <alignment horizontal="left" vertical="top" wrapText="1"/>
    </xf>
    <xf numFmtId="0" fontId="9" fillId="11" borderId="0" xfId="0" applyFont="1" applyFill="1" applyAlignment="1">
      <alignment vertical="top" wrapText="1"/>
    </xf>
    <xf numFmtId="0" fontId="9" fillId="10" borderId="0" xfId="0" applyFont="1" applyFill="1" applyAlignment="1">
      <alignment vertical="top" wrapText="1"/>
    </xf>
    <xf numFmtId="0" fontId="13" fillId="2" borderId="0" xfId="0" applyFont="1" applyFill="1" applyAlignment="1">
      <alignment vertical="top" wrapText="1"/>
    </xf>
    <xf numFmtId="0" fontId="9" fillId="7" borderId="4" xfId="0" applyFont="1" applyFill="1" applyBorder="1" applyAlignment="1">
      <alignment horizontal="left" vertical="top" wrapText="1"/>
    </xf>
    <xf numFmtId="0" fontId="9" fillId="7" borderId="4" xfId="0" quotePrefix="1" applyFont="1" applyFill="1" applyBorder="1" applyAlignment="1">
      <alignment horizontal="left" vertical="top" wrapText="1"/>
    </xf>
    <xf numFmtId="0" fontId="14" fillId="12" borderId="0" xfId="0" applyFont="1" applyFill="1" applyAlignment="1">
      <alignment vertical="top" wrapText="1"/>
    </xf>
    <xf numFmtId="0" fontId="14" fillId="12" borderId="0" xfId="0" applyFont="1" applyFill="1" applyAlignment="1">
      <alignment vertical="top"/>
    </xf>
    <xf numFmtId="0" fontId="9" fillId="12" borderId="0" xfId="0" applyFont="1" applyFill="1" applyAlignment="1">
      <alignment horizontal="left" vertical="top" wrapText="1"/>
    </xf>
    <xf numFmtId="0" fontId="9" fillId="0" borderId="4" xfId="0" quotePrefix="1" applyFont="1" applyBorder="1" applyAlignment="1">
      <alignment horizontal="left" vertical="top" wrapText="1"/>
    </xf>
    <xf numFmtId="0" fontId="9" fillId="12" borderId="4" xfId="0" applyFont="1" applyFill="1" applyBorder="1" applyAlignment="1">
      <alignment horizontal="left" vertical="top" wrapText="1"/>
    </xf>
    <xf numFmtId="0" fontId="9" fillId="12" borderId="0" xfId="0" applyFont="1" applyFill="1" applyAlignment="1">
      <alignment vertical="top" wrapText="1"/>
    </xf>
    <xf numFmtId="0" fontId="9" fillId="12" borderId="0" xfId="0" quotePrefix="1" applyFont="1" applyFill="1" applyAlignment="1">
      <alignment vertical="top" wrapText="1"/>
    </xf>
    <xf numFmtId="0" fontId="9" fillId="12" borderId="0" xfId="0" applyFont="1" applyFill="1" applyAlignment="1">
      <alignment vertical="top"/>
    </xf>
    <xf numFmtId="0" fontId="2" fillId="0" borderId="0" xfId="0" applyFont="1"/>
    <xf numFmtId="0" fontId="17" fillId="0" borderId="0" xfId="0" applyFont="1" applyAlignment="1">
      <alignment horizontal="left" vertical="center" indent="4"/>
    </xf>
    <xf numFmtId="0" fontId="2" fillId="12" borderId="0" xfId="0" applyFont="1" applyFill="1"/>
    <xf numFmtId="0" fontId="0" fillId="13" borderId="0" xfId="0" applyFill="1"/>
    <xf numFmtId="0" fontId="16" fillId="0" borderId="0" xfId="0" applyFont="1" applyAlignment="1">
      <alignment wrapText="1"/>
    </xf>
    <xf numFmtId="0" fontId="0" fillId="0" borderId="0" xfId="0" quotePrefix="1" applyAlignment="1">
      <alignment wrapText="1"/>
    </xf>
    <xf numFmtId="0" fontId="17" fillId="0" borderId="0" xfId="0" applyFont="1" applyAlignment="1">
      <alignment horizontal="left" vertical="center" wrapText="1"/>
    </xf>
    <xf numFmtId="0" fontId="2" fillId="0" borderId="0" xfId="0" applyFont="1" applyAlignment="1">
      <alignment wrapText="1"/>
    </xf>
    <xf numFmtId="0" fontId="14" fillId="7"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colors>
    <mruColors>
      <color rgb="FFEDFCFC"/>
      <color rgb="FFF2F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Quyen Nguyen" id="{2BA574CE-146D-4A71-9D79-C63F12090AE0}" userId="S::q.nguyen@gns.cri.nz::db285749-1f94-4021-b58f-c5f9a41da51b" providerId="AD"/>
  <person displayName="Quyen Nguyen" id="{ECBA8E6C-F3A2-45E7-894B-9A4DF0FBAE4C}" userId="S::quyen.nguyen@earthsciences.nz::1ee9e57c-9d15-4364-82bc-47f476e624d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3" dT="2024-05-09T02:57:14.67" personId="{2BA574CE-146D-4A71-9D79-C63F12090AE0}" id="{F0F8A2D6-0AA2-4B5F-8EF5-B8FA4D297744}">
    <text>Test with chatGPT</text>
  </threadedComment>
  <threadedComment ref="V3" dT="2024-05-09T02:57:14.67" personId="{2BA574CE-146D-4A71-9D79-C63F12090AE0}" id="{EB0723A6-4807-406C-B3C4-B9F2F86A1E03}">
    <text>Test with chatGPT</text>
  </threadedComment>
</ThreadedComments>
</file>

<file path=xl/threadedComments/threadedComment2.xml><?xml version="1.0" encoding="utf-8"?>
<ThreadedComments xmlns="http://schemas.microsoft.com/office/spreadsheetml/2018/threadedcomments" xmlns:x="http://schemas.openxmlformats.org/spreadsheetml/2006/main">
  <threadedComment ref="Q2" dT="2026-10-07T21:56:05.47" personId="{ECBA8E6C-F3A2-45E7-894B-9A4DF0FBAE4C}" id="{1F7631DB-4684-4B79-933A-9C53A1D6E944}">
    <text xml:space="preserve">Does the document describe historical or already-observed impacts from physical climate hazards on the entity, its assets, operations, finances, customers, suppliers, or value chain?
</text>
  </threadedComment>
</ThreadedComments>
</file>

<file path=xl/threadedComments/threadedComment3.xml><?xml version="1.0" encoding="utf-8"?>
<ThreadedComments xmlns="http://schemas.microsoft.com/office/spreadsheetml/2018/threadedcomments" xmlns:x="http://schemas.openxmlformats.org/spreadsheetml/2006/main">
  <threadedComment ref="S2" dT="2026-10-07T21:56:05.47" personId="{ECBA8E6C-F3A2-45E7-894B-9A4DF0FBAE4C}" id="{FE2D54C8-8C86-488D-9D98-0AEA69C65122}">
    <text xml:space="preserve">Does the document describe historical or already-observed impacts from physical climate hazards on the entity, its assets, operations, finances, customers, suppliers, or value chain?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DB20-6913-4E5C-A3A3-86468B34E765}">
  <dimension ref="A2:J15"/>
  <sheetViews>
    <sheetView topLeftCell="A3" zoomScale="95" zoomScaleNormal="95" workbookViewId="0">
      <selection activeCell="E10" sqref="E10"/>
    </sheetView>
  </sheetViews>
  <sheetFormatPr defaultRowHeight="14.5" x14ac:dyDescent="0.35"/>
  <cols>
    <col min="1" max="1" width="25.7265625" style="3" customWidth="1"/>
    <col min="2" max="9" width="39.453125" style="1" customWidth="1"/>
  </cols>
  <sheetData>
    <row r="2" spans="1:10" s="2" customFormat="1" ht="18.5" x14ac:dyDescent="0.45">
      <c r="A2" s="4"/>
      <c r="B2" s="5" t="s">
        <v>0</v>
      </c>
      <c r="C2" s="5" t="s">
        <v>1</v>
      </c>
      <c r="D2" s="5" t="s">
        <v>2</v>
      </c>
      <c r="E2" s="5" t="s">
        <v>3</v>
      </c>
      <c r="F2" s="5" t="s">
        <v>4</v>
      </c>
      <c r="G2" s="5" t="s">
        <v>5</v>
      </c>
      <c r="H2" s="5" t="s">
        <v>6</v>
      </c>
      <c r="I2" s="5" t="s">
        <v>7</v>
      </c>
    </row>
    <row r="3" spans="1:10" ht="43.5" x14ac:dyDescent="0.35">
      <c r="A3" s="13" t="s">
        <v>8</v>
      </c>
      <c r="B3" s="7" t="s">
        <v>9</v>
      </c>
      <c r="C3" s="7" t="s">
        <v>9</v>
      </c>
      <c r="D3" s="7" t="s">
        <v>9</v>
      </c>
      <c r="E3" s="7" t="s">
        <v>10</v>
      </c>
      <c r="F3" s="7" t="s">
        <v>11</v>
      </c>
      <c r="G3" s="7" t="s">
        <v>12</v>
      </c>
      <c r="H3" s="7" t="s">
        <v>11</v>
      </c>
      <c r="I3" s="7" t="s">
        <v>13</v>
      </c>
    </row>
    <row r="4" spans="1:10" ht="92.5" customHeight="1" x14ac:dyDescent="0.35">
      <c r="A4" s="16" t="s">
        <v>14</v>
      </c>
      <c r="B4" s="7" t="s">
        <v>15</v>
      </c>
      <c r="C4" s="7" t="s">
        <v>16</v>
      </c>
      <c r="D4" s="7" t="s">
        <v>17</v>
      </c>
      <c r="E4" s="7" t="s">
        <v>18</v>
      </c>
      <c r="F4" s="7" t="s">
        <v>19</v>
      </c>
      <c r="G4" s="8" t="s">
        <v>20</v>
      </c>
      <c r="H4" s="7" t="s">
        <v>11</v>
      </c>
      <c r="I4" s="7" t="s">
        <v>21</v>
      </c>
      <c r="J4" s="15" t="s">
        <v>22</v>
      </c>
    </row>
    <row r="5" spans="1:10" ht="29" x14ac:dyDescent="0.35">
      <c r="A5" s="14" t="s">
        <v>23</v>
      </c>
      <c r="B5" s="7" t="s">
        <v>24</v>
      </c>
      <c r="C5" s="7" t="s">
        <v>25</v>
      </c>
      <c r="D5" s="7" t="s">
        <v>26</v>
      </c>
      <c r="E5" s="7" t="s">
        <v>27</v>
      </c>
      <c r="F5" s="7" t="s">
        <v>28</v>
      </c>
      <c r="G5" s="7" t="s">
        <v>29</v>
      </c>
      <c r="H5" s="7" t="s">
        <v>11</v>
      </c>
      <c r="I5" s="7" t="s">
        <v>30</v>
      </c>
    </row>
    <row r="6" spans="1:10" ht="101.5" x14ac:dyDescent="0.35">
      <c r="A6" s="6" t="s">
        <v>31</v>
      </c>
      <c r="B6" s="7" t="s">
        <v>32</v>
      </c>
      <c r="C6" s="7" t="s">
        <v>33</v>
      </c>
      <c r="D6" s="7" t="s">
        <v>34</v>
      </c>
      <c r="E6" s="7" t="s">
        <v>35</v>
      </c>
      <c r="F6" s="7" t="s">
        <v>36</v>
      </c>
      <c r="G6" s="7"/>
      <c r="H6" s="7" t="s">
        <v>37</v>
      </c>
      <c r="I6" s="7" t="s">
        <v>38</v>
      </c>
      <c r="J6" s="17" t="s">
        <v>39</v>
      </c>
    </row>
    <row r="7" spans="1:10" x14ac:dyDescent="0.35">
      <c r="A7" s="6" t="s">
        <v>40</v>
      </c>
      <c r="B7" s="7" t="s">
        <v>13</v>
      </c>
      <c r="C7" s="7" t="s">
        <v>41</v>
      </c>
      <c r="D7" s="7" t="s">
        <v>41</v>
      </c>
      <c r="E7" s="7" t="s">
        <v>42</v>
      </c>
      <c r="F7" s="7" t="s">
        <v>13</v>
      </c>
      <c r="G7" s="7" t="s">
        <v>42</v>
      </c>
      <c r="H7" s="7" t="s">
        <v>11</v>
      </c>
      <c r="I7" s="7" t="s">
        <v>43</v>
      </c>
    </row>
    <row r="8" spans="1:10" ht="29" x14ac:dyDescent="0.35">
      <c r="A8" s="6" t="s">
        <v>44</v>
      </c>
      <c r="B8" s="7" t="s">
        <v>11</v>
      </c>
      <c r="C8" s="7" t="s">
        <v>13</v>
      </c>
      <c r="D8" s="7" t="s">
        <v>45</v>
      </c>
      <c r="E8" s="7" t="s">
        <v>46</v>
      </c>
      <c r="F8" s="7" t="s">
        <v>13</v>
      </c>
      <c r="G8" s="7" t="s">
        <v>47</v>
      </c>
      <c r="H8" s="7" t="s">
        <v>11</v>
      </c>
      <c r="I8" s="7" t="s">
        <v>47</v>
      </c>
      <c r="J8" s="15" t="s">
        <v>48</v>
      </c>
    </row>
    <row r="9" spans="1:10" ht="43.5" x14ac:dyDescent="0.35">
      <c r="A9" s="6" t="s">
        <v>49</v>
      </c>
      <c r="B9" s="7" t="s">
        <v>50</v>
      </c>
      <c r="C9" s="7" t="s">
        <v>51</v>
      </c>
      <c r="D9" s="7" t="s">
        <v>52</v>
      </c>
      <c r="E9" s="7" t="s">
        <v>53</v>
      </c>
      <c r="F9" s="7" t="s">
        <v>54</v>
      </c>
      <c r="G9" s="7"/>
      <c r="H9" s="7" t="s">
        <v>11</v>
      </c>
      <c r="I9" s="7" t="s">
        <v>55</v>
      </c>
    </row>
    <row r="10" spans="1:10" ht="101.5" x14ac:dyDescent="0.35">
      <c r="A10" s="6" t="s">
        <v>56</v>
      </c>
      <c r="B10" s="7" t="s">
        <v>57</v>
      </c>
      <c r="C10" s="7" t="s">
        <v>58</v>
      </c>
      <c r="D10" s="7" t="s">
        <v>59</v>
      </c>
      <c r="E10" s="7" t="s">
        <v>60</v>
      </c>
      <c r="F10" s="7" t="s">
        <v>61</v>
      </c>
      <c r="G10" s="7" t="s">
        <v>62</v>
      </c>
      <c r="H10" s="7" t="s">
        <v>11</v>
      </c>
      <c r="I10" s="7" t="s">
        <v>63</v>
      </c>
      <c r="J10" s="15" t="s">
        <v>64</v>
      </c>
    </row>
    <row r="11" spans="1:10" x14ac:dyDescent="0.35">
      <c r="A11" s="6" t="s">
        <v>65</v>
      </c>
      <c r="B11" s="10"/>
      <c r="C11" s="10"/>
      <c r="D11" s="10"/>
      <c r="E11" s="10"/>
      <c r="F11" s="11"/>
      <c r="G11" s="11"/>
      <c r="H11" s="12"/>
      <c r="I11" s="12"/>
    </row>
    <row r="12" spans="1:10" ht="265.89999999999998" customHeight="1" x14ac:dyDescent="0.35">
      <c r="A12" s="6" t="s">
        <v>66</v>
      </c>
      <c r="B12" s="9" t="s">
        <v>67</v>
      </c>
      <c r="C12" s="9" t="s">
        <v>68</v>
      </c>
      <c r="D12" s="9" t="s">
        <v>69</v>
      </c>
      <c r="E12" s="9" t="s">
        <v>70</v>
      </c>
      <c r="F12" s="9" t="s">
        <v>71</v>
      </c>
      <c r="G12" s="9"/>
      <c r="H12" s="7" t="s">
        <v>72</v>
      </c>
      <c r="I12" s="9"/>
    </row>
    <row r="13" spans="1:10" ht="29" x14ac:dyDescent="0.35">
      <c r="A13" s="3" t="s">
        <v>73</v>
      </c>
      <c r="B13" s="1" t="s">
        <v>74</v>
      </c>
    </row>
    <row r="14" spans="1:10" ht="29" x14ac:dyDescent="0.35">
      <c r="B14" s="1" t="s">
        <v>75</v>
      </c>
    </row>
    <row r="15" spans="1:10" x14ac:dyDescent="0.35">
      <c r="A15" s="3" t="s">
        <v>76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4F800-E741-4A79-AEB3-0988D5C890DD}">
  <dimension ref="A1:V43"/>
  <sheetViews>
    <sheetView zoomScale="85" zoomScaleNormal="85" workbookViewId="0">
      <pane xSplit="4" ySplit="3" topLeftCell="E32" activePane="bottomRight" state="frozen"/>
      <selection activeCell="A17" sqref="A17"/>
      <selection pane="topRight" activeCell="A17" sqref="A17"/>
      <selection pane="bottomLeft" activeCell="A17" sqref="A17"/>
      <selection pane="bottomRight" activeCell="A17" sqref="A17"/>
    </sheetView>
  </sheetViews>
  <sheetFormatPr defaultColWidth="9.1796875" defaultRowHeight="15.5" x14ac:dyDescent="0.35"/>
  <cols>
    <col min="1" max="1" width="18" style="45" customWidth="1"/>
    <col min="2" max="2" width="9.26953125" style="32" customWidth="1"/>
    <col min="3" max="3" width="34.453125" style="21" customWidth="1"/>
    <col min="4" max="4" width="15.54296875" style="21" customWidth="1"/>
    <col min="5" max="5" width="21.54296875" style="21" customWidth="1"/>
    <col min="6" max="6" width="56.1796875" style="24" customWidth="1"/>
    <col min="7" max="7" width="21.54296875" style="24" customWidth="1"/>
    <col min="8" max="8" width="36.26953125" style="24" customWidth="1"/>
    <col min="9" max="9" width="32" style="24" customWidth="1"/>
    <col min="10" max="10" width="43.81640625" style="24" customWidth="1"/>
    <col min="11" max="22" width="54" style="24" customWidth="1"/>
    <col min="23" max="16384" width="9.1796875" style="33"/>
  </cols>
  <sheetData>
    <row r="1" spans="1:22" x14ac:dyDescent="0.35">
      <c r="A1" s="32" t="s">
        <v>77</v>
      </c>
      <c r="F1" s="18" t="s">
        <v>78</v>
      </c>
      <c r="G1" s="18"/>
      <c r="H1" s="18"/>
      <c r="I1" s="18"/>
      <c r="J1" s="18">
        <f>COUNTA(J3:BN3)</f>
        <v>13</v>
      </c>
      <c r="K1" s="18"/>
      <c r="L1" s="18"/>
      <c r="M1" s="18"/>
      <c r="N1" s="18"/>
      <c r="O1" s="18"/>
      <c r="P1" s="18"/>
      <c r="Q1" s="18"/>
      <c r="R1" s="18"/>
      <c r="S1" s="18"/>
      <c r="T1" s="18"/>
      <c r="U1" s="18"/>
      <c r="V1" s="18"/>
    </row>
    <row r="2" spans="1:22" x14ac:dyDescent="0.35">
      <c r="A2" s="50"/>
      <c r="B2" s="51"/>
      <c r="C2" s="52"/>
      <c r="D2" s="52"/>
      <c r="E2" s="52"/>
      <c r="F2" s="53"/>
      <c r="G2" s="53"/>
      <c r="H2" s="53"/>
      <c r="I2" s="53"/>
      <c r="J2" s="26" t="s">
        <v>79</v>
      </c>
      <c r="K2" s="54"/>
      <c r="L2" s="54"/>
      <c r="M2" s="54"/>
      <c r="N2" s="54"/>
      <c r="O2" s="54"/>
      <c r="P2" s="54"/>
      <c r="Q2" s="54"/>
      <c r="R2" s="54"/>
      <c r="S2" s="54"/>
      <c r="T2" s="54"/>
      <c r="U2" s="54"/>
      <c r="V2" s="54"/>
    </row>
    <row r="3" spans="1:22" s="34" customFormat="1" ht="62" x14ac:dyDescent="0.35">
      <c r="A3" s="20" t="s">
        <v>80</v>
      </c>
      <c r="B3" s="19" t="s">
        <v>61</v>
      </c>
      <c r="C3" s="20" t="s">
        <v>81</v>
      </c>
      <c r="D3" s="20" t="s">
        <v>82</v>
      </c>
      <c r="E3" s="20" t="s">
        <v>83</v>
      </c>
      <c r="F3" s="20" t="s">
        <v>84</v>
      </c>
      <c r="G3" s="20" t="s">
        <v>85</v>
      </c>
      <c r="H3" s="20" t="s">
        <v>86</v>
      </c>
      <c r="I3" s="20" t="s">
        <v>87</v>
      </c>
      <c r="J3" s="55" t="s">
        <v>88</v>
      </c>
      <c r="K3" s="55" t="s">
        <v>89</v>
      </c>
      <c r="L3" s="55" t="s">
        <v>90</v>
      </c>
      <c r="M3" s="55" t="s">
        <v>91</v>
      </c>
      <c r="N3" s="55" t="s">
        <v>92</v>
      </c>
      <c r="O3" s="55" t="s">
        <v>93</v>
      </c>
      <c r="P3" s="55" t="s">
        <v>94</v>
      </c>
      <c r="Q3" s="55" t="s">
        <v>95</v>
      </c>
      <c r="R3" s="55" t="s">
        <v>96</v>
      </c>
      <c r="S3" s="55" t="s">
        <v>97</v>
      </c>
      <c r="T3" s="55" t="s">
        <v>98</v>
      </c>
      <c r="U3" s="55" t="s">
        <v>99</v>
      </c>
      <c r="V3" s="55" t="s">
        <v>100</v>
      </c>
    </row>
    <row r="4" spans="1:22" s="34" customFormat="1" x14ac:dyDescent="0.35">
      <c r="A4" s="20"/>
      <c r="B4" s="19"/>
      <c r="C4" s="20"/>
      <c r="D4" s="20"/>
      <c r="E4" s="20"/>
      <c r="F4" s="20"/>
      <c r="G4" s="20"/>
      <c r="H4" s="20"/>
      <c r="I4" s="20"/>
      <c r="J4" s="55" t="s">
        <v>101</v>
      </c>
      <c r="K4" s="55" t="s">
        <v>102</v>
      </c>
      <c r="L4" s="55" t="s">
        <v>103</v>
      </c>
      <c r="M4" s="55" t="s">
        <v>104</v>
      </c>
      <c r="N4" s="55" t="s">
        <v>105</v>
      </c>
      <c r="O4" s="55" t="s">
        <v>105</v>
      </c>
      <c r="P4" s="55" t="s">
        <v>106</v>
      </c>
      <c r="Q4" s="55" t="s">
        <v>107</v>
      </c>
      <c r="R4" s="55" t="s">
        <v>104</v>
      </c>
      <c r="S4" s="55" t="s">
        <v>108</v>
      </c>
      <c r="T4" s="55" t="s">
        <v>109</v>
      </c>
      <c r="U4" s="55" t="s">
        <v>110</v>
      </c>
      <c r="V4" s="55" t="s">
        <v>111</v>
      </c>
    </row>
    <row r="5" spans="1:22" s="34" customFormat="1" x14ac:dyDescent="0.35">
      <c r="A5" s="20"/>
      <c r="B5" s="19"/>
      <c r="C5" s="20"/>
      <c r="D5" s="20"/>
      <c r="E5" s="20"/>
      <c r="F5" s="20"/>
      <c r="G5" s="20"/>
      <c r="H5" s="20"/>
      <c r="I5" s="20"/>
      <c r="J5" s="55"/>
      <c r="K5" s="55"/>
      <c r="L5" s="55"/>
      <c r="M5" s="55"/>
      <c r="N5" s="55"/>
      <c r="O5" s="55"/>
      <c r="P5" s="55"/>
      <c r="Q5" s="55"/>
      <c r="R5" s="55"/>
      <c r="S5" s="55"/>
      <c r="T5" s="55"/>
      <c r="U5" s="55"/>
      <c r="V5" s="55"/>
    </row>
    <row r="6" spans="1:22" s="36" customFormat="1" x14ac:dyDescent="0.35">
      <c r="A6" s="74" t="s">
        <v>112</v>
      </c>
      <c r="B6" s="35">
        <v>1</v>
      </c>
      <c r="C6" s="21" t="s">
        <v>113</v>
      </c>
      <c r="D6" s="21" t="s">
        <v>114</v>
      </c>
      <c r="E6" s="21" t="s">
        <v>115</v>
      </c>
      <c r="F6" s="21" t="s">
        <v>116</v>
      </c>
      <c r="G6" s="21" t="s">
        <v>117</v>
      </c>
      <c r="H6" s="21" t="s">
        <v>117</v>
      </c>
      <c r="I6" s="21" t="s">
        <v>117</v>
      </c>
      <c r="J6" s="21" t="s">
        <v>118</v>
      </c>
      <c r="K6" s="21" t="s">
        <v>119</v>
      </c>
      <c r="L6" s="21" t="s">
        <v>120</v>
      </c>
      <c r="M6" s="21" t="s">
        <v>121</v>
      </c>
      <c r="N6" s="21" t="s">
        <v>122</v>
      </c>
      <c r="O6" s="21" t="s">
        <v>123</v>
      </c>
      <c r="P6" s="21" t="s">
        <v>124</v>
      </c>
      <c r="Q6" s="21" t="s">
        <v>125</v>
      </c>
      <c r="R6" s="21" t="s">
        <v>121</v>
      </c>
      <c r="S6" s="21" t="s">
        <v>126</v>
      </c>
      <c r="T6" s="21" t="s">
        <v>127</v>
      </c>
      <c r="U6" s="21" t="s">
        <v>128</v>
      </c>
      <c r="V6" s="21" t="s">
        <v>129</v>
      </c>
    </row>
    <row r="7" spans="1:22" s="36" customFormat="1" ht="31" x14ac:dyDescent="0.35">
      <c r="A7" s="74"/>
      <c r="B7" s="35">
        <f>B6+1</f>
        <v>2</v>
      </c>
      <c r="C7" s="21" t="s">
        <v>130</v>
      </c>
      <c r="D7" s="21" t="s">
        <v>114</v>
      </c>
      <c r="E7" s="21" t="s">
        <v>115</v>
      </c>
      <c r="F7" s="21" t="s">
        <v>131</v>
      </c>
      <c r="G7" s="21" t="s">
        <v>117</v>
      </c>
      <c r="H7" s="21" t="s">
        <v>117</v>
      </c>
      <c r="I7" s="21" t="s">
        <v>117</v>
      </c>
      <c r="J7" s="21" t="s">
        <v>132</v>
      </c>
      <c r="K7" s="21" t="s">
        <v>133</v>
      </c>
      <c r="L7" s="21" t="s">
        <v>133</v>
      </c>
      <c r="M7" s="21" t="s">
        <v>133</v>
      </c>
      <c r="N7" s="21" t="s">
        <v>133</v>
      </c>
      <c r="O7" s="21" t="s">
        <v>133</v>
      </c>
      <c r="P7" s="21" t="s">
        <v>134</v>
      </c>
      <c r="Q7" s="21" t="s">
        <v>133</v>
      </c>
      <c r="R7" s="21" t="s">
        <v>133</v>
      </c>
      <c r="S7" s="21" t="s">
        <v>133</v>
      </c>
      <c r="T7" s="21" t="s">
        <v>133</v>
      </c>
      <c r="U7" s="21" t="s">
        <v>135</v>
      </c>
      <c r="V7" s="21" t="s">
        <v>136</v>
      </c>
    </row>
    <row r="8" spans="1:22" s="36" customFormat="1" ht="132.65" hidden="1" customHeight="1" x14ac:dyDescent="0.35">
      <c r="A8" s="74"/>
      <c r="B8" s="35">
        <v>3</v>
      </c>
      <c r="C8" s="21" t="s">
        <v>137</v>
      </c>
      <c r="D8" s="21" t="s">
        <v>114</v>
      </c>
      <c r="E8" s="21" t="s">
        <v>115</v>
      </c>
      <c r="F8" s="21" t="s">
        <v>138</v>
      </c>
      <c r="G8" s="21" t="s">
        <v>117</v>
      </c>
      <c r="H8" s="21" t="s">
        <v>117</v>
      </c>
      <c r="I8" s="21" t="s">
        <v>117</v>
      </c>
      <c r="J8" s="21" t="s">
        <v>139</v>
      </c>
      <c r="K8" s="21" t="s">
        <v>140</v>
      </c>
      <c r="L8" s="21" t="s">
        <v>140</v>
      </c>
      <c r="M8" s="21" t="s">
        <v>140</v>
      </c>
      <c r="N8" s="21"/>
      <c r="O8" s="21"/>
      <c r="P8" s="21"/>
      <c r="Q8" s="21"/>
      <c r="R8" s="21"/>
      <c r="S8" s="21"/>
      <c r="T8" s="21"/>
      <c r="U8" s="21" t="s">
        <v>141</v>
      </c>
      <c r="V8" s="21"/>
    </row>
    <row r="9" spans="1:22" s="36" customFormat="1" ht="132.65" hidden="1" customHeight="1" x14ac:dyDescent="0.35">
      <c r="A9" s="74"/>
      <c r="B9" s="35">
        <v>3</v>
      </c>
      <c r="C9" s="21" t="s">
        <v>142</v>
      </c>
      <c r="D9" s="21" t="s">
        <v>143</v>
      </c>
      <c r="E9" s="21" t="s">
        <v>144</v>
      </c>
      <c r="F9" s="21" t="s">
        <v>145</v>
      </c>
      <c r="G9" s="21" t="s">
        <v>117</v>
      </c>
      <c r="H9" s="21" t="s">
        <v>117</v>
      </c>
      <c r="I9" s="21" t="s">
        <v>117</v>
      </c>
      <c r="J9" s="21" t="s">
        <v>146</v>
      </c>
      <c r="K9" s="21" t="s">
        <v>147</v>
      </c>
      <c r="L9" s="21" t="s">
        <v>148</v>
      </c>
      <c r="M9" s="21" t="s">
        <v>149</v>
      </c>
      <c r="N9" s="21"/>
      <c r="O9" s="21" t="s">
        <v>150</v>
      </c>
      <c r="P9" s="21"/>
      <c r="Q9" s="21"/>
      <c r="R9" s="21"/>
      <c r="S9" s="21"/>
      <c r="T9" s="21"/>
      <c r="U9" s="21" t="s">
        <v>151</v>
      </c>
      <c r="V9" s="21"/>
    </row>
    <row r="10" spans="1:22" s="36" customFormat="1" ht="155" hidden="1" x14ac:dyDescent="0.35">
      <c r="A10" s="74"/>
      <c r="B10" s="35">
        <v>4</v>
      </c>
      <c r="C10" s="21" t="s">
        <v>152</v>
      </c>
      <c r="D10" s="21" t="s">
        <v>143</v>
      </c>
      <c r="E10" s="21" t="s">
        <v>153</v>
      </c>
      <c r="F10" s="21" t="s">
        <v>154</v>
      </c>
      <c r="G10" s="21" t="s">
        <v>117</v>
      </c>
      <c r="H10" s="21" t="s">
        <v>117</v>
      </c>
      <c r="I10" s="21" t="s">
        <v>117</v>
      </c>
      <c r="J10" s="21" t="s">
        <v>155</v>
      </c>
      <c r="K10" s="21" t="s">
        <v>156</v>
      </c>
      <c r="L10" s="21" t="s">
        <v>157</v>
      </c>
      <c r="M10" s="21" t="s">
        <v>158</v>
      </c>
      <c r="N10" s="21" t="s">
        <v>158</v>
      </c>
      <c r="O10" s="21" t="s">
        <v>159</v>
      </c>
      <c r="P10" s="21"/>
      <c r="Q10" s="21"/>
      <c r="R10" s="21" t="s">
        <v>160</v>
      </c>
      <c r="S10" s="21" t="s">
        <v>161</v>
      </c>
      <c r="T10" s="21" t="s">
        <v>162</v>
      </c>
      <c r="U10" s="21" t="s">
        <v>163</v>
      </c>
      <c r="V10" s="21"/>
    </row>
    <row r="11" spans="1:22" s="36" customFormat="1" ht="31" hidden="1" x14ac:dyDescent="0.35">
      <c r="A11" s="37"/>
      <c r="B11" s="35">
        <v>5</v>
      </c>
      <c r="C11" s="21" t="s">
        <v>164</v>
      </c>
      <c r="D11" s="21" t="s">
        <v>114</v>
      </c>
      <c r="E11" s="21" t="s">
        <v>144</v>
      </c>
      <c r="F11" s="21" t="s">
        <v>165</v>
      </c>
      <c r="G11" s="21" t="s">
        <v>117</v>
      </c>
      <c r="H11" s="21" t="s">
        <v>117</v>
      </c>
      <c r="I11" s="21" t="s">
        <v>117</v>
      </c>
      <c r="J11" s="21">
        <v>2</v>
      </c>
      <c r="K11" s="21">
        <v>4</v>
      </c>
      <c r="L11" s="21">
        <v>4</v>
      </c>
      <c r="M11" s="21"/>
      <c r="N11" s="21"/>
      <c r="O11" s="21"/>
      <c r="P11" s="21" t="s">
        <v>166</v>
      </c>
      <c r="Q11" s="21" t="s">
        <v>167</v>
      </c>
      <c r="R11" s="21"/>
      <c r="S11" s="21"/>
      <c r="T11" s="21"/>
      <c r="U11" s="21">
        <v>4</v>
      </c>
      <c r="V11" s="21"/>
    </row>
    <row r="12" spans="1:22" s="36" customFormat="1" ht="62" hidden="1" x14ac:dyDescent="0.35">
      <c r="A12" s="38"/>
      <c r="B12" s="39">
        <f>B11+1</f>
        <v>6</v>
      </c>
      <c r="C12" s="22" t="s">
        <v>168</v>
      </c>
      <c r="D12" s="22" t="s">
        <v>114</v>
      </c>
      <c r="E12" s="22" t="s">
        <v>153</v>
      </c>
      <c r="F12" s="22" t="s">
        <v>169</v>
      </c>
      <c r="G12" s="22" t="s">
        <v>117</v>
      </c>
      <c r="H12" s="22" t="s">
        <v>170</v>
      </c>
      <c r="I12" s="22"/>
      <c r="J12" s="22" t="s">
        <v>171</v>
      </c>
      <c r="K12" s="22" t="s">
        <v>172</v>
      </c>
      <c r="L12" s="22" t="s">
        <v>173</v>
      </c>
      <c r="M12" s="22" t="s">
        <v>174</v>
      </c>
      <c r="N12" s="22" t="s">
        <v>175</v>
      </c>
      <c r="O12" s="22" t="s">
        <v>174</v>
      </c>
      <c r="P12" s="22" t="s">
        <v>176</v>
      </c>
      <c r="Q12" s="22" t="s">
        <v>177</v>
      </c>
      <c r="R12" s="22"/>
      <c r="S12" s="22"/>
      <c r="T12" s="22" t="s">
        <v>178</v>
      </c>
      <c r="U12" s="22" t="s">
        <v>179</v>
      </c>
      <c r="V12" s="22"/>
    </row>
    <row r="13" spans="1:22" ht="77.5" x14ac:dyDescent="0.35">
      <c r="A13" s="40" t="s">
        <v>180</v>
      </c>
      <c r="B13" s="41">
        <f>B12+1</f>
        <v>7</v>
      </c>
      <c r="C13" s="42" t="s">
        <v>181</v>
      </c>
      <c r="D13" s="42" t="s">
        <v>143</v>
      </c>
      <c r="E13" s="42" t="s">
        <v>182</v>
      </c>
      <c r="F13" s="28" t="s">
        <v>183</v>
      </c>
      <c r="G13" s="28" t="s">
        <v>184</v>
      </c>
      <c r="H13" s="28"/>
      <c r="I13" s="28"/>
      <c r="J13" s="28" t="s">
        <v>185</v>
      </c>
      <c r="K13" s="28" t="s">
        <v>185</v>
      </c>
      <c r="L13" s="28" t="s">
        <v>185</v>
      </c>
      <c r="M13" s="28" t="s">
        <v>185</v>
      </c>
      <c r="N13" s="28" t="s">
        <v>185</v>
      </c>
      <c r="O13" s="28" t="s">
        <v>185</v>
      </c>
      <c r="P13" s="28" t="s">
        <v>185</v>
      </c>
      <c r="Q13" s="28" t="s">
        <v>185</v>
      </c>
      <c r="R13" s="28" t="s">
        <v>185</v>
      </c>
      <c r="S13" s="28" t="s">
        <v>185</v>
      </c>
      <c r="T13" s="28" t="s">
        <v>185</v>
      </c>
      <c r="U13" s="28" t="s">
        <v>185</v>
      </c>
      <c r="V13" s="28" t="s">
        <v>185</v>
      </c>
    </row>
    <row r="14" spans="1:22" ht="139.5" x14ac:dyDescent="0.35">
      <c r="A14" s="38"/>
      <c r="B14" s="39">
        <f>B13+1</f>
        <v>8</v>
      </c>
      <c r="C14" s="22" t="s">
        <v>186</v>
      </c>
      <c r="D14" s="22" t="s">
        <v>143</v>
      </c>
      <c r="E14" s="22" t="s">
        <v>182</v>
      </c>
      <c r="F14" s="29" t="s">
        <v>187</v>
      </c>
      <c r="G14" s="29" t="s">
        <v>184</v>
      </c>
      <c r="H14" s="29"/>
      <c r="I14" s="29"/>
      <c r="J14" s="29" t="s">
        <v>185</v>
      </c>
      <c r="K14" s="29" t="s">
        <v>185</v>
      </c>
      <c r="L14" s="29" t="s">
        <v>185</v>
      </c>
      <c r="M14" s="29" t="s">
        <v>185</v>
      </c>
      <c r="N14" s="29" t="s">
        <v>185</v>
      </c>
      <c r="O14" s="29" t="s">
        <v>185</v>
      </c>
      <c r="P14" s="29" t="s">
        <v>185</v>
      </c>
      <c r="Q14" s="29" t="s">
        <v>185</v>
      </c>
      <c r="R14" s="29" t="s">
        <v>185</v>
      </c>
      <c r="S14" s="29" t="s">
        <v>185</v>
      </c>
      <c r="T14" s="29" t="s">
        <v>185</v>
      </c>
      <c r="U14" s="29" t="s">
        <v>185</v>
      </c>
      <c r="V14" s="29" t="s">
        <v>185</v>
      </c>
    </row>
    <row r="15" spans="1:22" ht="93" x14ac:dyDescent="0.35">
      <c r="A15" s="40" t="s">
        <v>188</v>
      </c>
      <c r="B15" s="41">
        <f t="shared" ref="B15:B42" si="0">B14+1</f>
        <v>9</v>
      </c>
      <c r="C15" s="62" t="s">
        <v>189</v>
      </c>
      <c r="D15" s="42" t="s">
        <v>143</v>
      </c>
      <c r="E15" s="42" t="s">
        <v>153</v>
      </c>
      <c r="F15" s="42" t="s">
        <v>190</v>
      </c>
      <c r="G15" s="42" t="s">
        <v>184</v>
      </c>
      <c r="H15" s="42" t="s">
        <v>191</v>
      </c>
      <c r="I15" s="42" t="s">
        <v>192</v>
      </c>
      <c r="J15" s="42" t="s">
        <v>193</v>
      </c>
      <c r="K15" s="42" t="s">
        <v>194</v>
      </c>
      <c r="L15" s="42" t="s">
        <v>195</v>
      </c>
      <c r="M15" s="42" t="s">
        <v>196</v>
      </c>
      <c r="N15" s="42" t="s">
        <v>197</v>
      </c>
      <c r="O15" s="42" t="s">
        <v>198</v>
      </c>
      <c r="P15" s="42" t="s">
        <v>199</v>
      </c>
      <c r="Q15" s="42" t="s">
        <v>200</v>
      </c>
      <c r="R15" s="42" t="s">
        <v>201</v>
      </c>
      <c r="S15" s="42" t="s">
        <v>202</v>
      </c>
      <c r="T15" s="42"/>
      <c r="U15" s="42" t="s">
        <v>203</v>
      </c>
      <c r="V15" s="42" t="s">
        <v>204</v>
      </c>
    </row>
    <row r="16" spans="1:22" ht="186" x14ac:dyDescent="0.35">
      <c r="A16" s="37"/>
      <c r="B16" s="35">
        <f t="shared" si="0"/>
        <v>10</v>
      </c>
      <c r="C16" s="60" t="s">
        <v>205</v>
      </c>
      <c r="D16" s="21" t="s">
        <v>114</v>
      </c>
      <c r="E16" s="21" t="s">
        <v>153</v>
      </c>
      <c r="F16" s="21" t="s">
        <v>206</v>
      </c>
      <c r="G16" s="21" t="s">
        <v>184</v>
      </c>
      <c r="H16" s="21" t="s">
        <v>207</v>
      </c>
      <c r="I16" s="21"/>
      <c r="J16" s="21" t="s">
        <v>208</v>
      </c>
      <c r="K16" s="21" t="s">
        <v>209</v>
      </c>
      <c r="L16" s="21" t="s">
        <v>210</v>
      </c>
      <c r="M16" s="21" t="s">
        <v>211</v>
      </c>
      <c r="N16" s="21" t="s">
        <v>212</v>
      </c>
      <c r="O16" s="21" t="s">
        <v>213</v>
      </c>
      <c r="P16" s="21" t="s">
        <v>214</v>
      </c>
      <c r="Q16" s="21" t="s">
        <v>215</v>
      </c>
      <c r="R16" s="21" t="s">
        <v>216</v>
      </c>
      <c r="S16" s="21"/>
      <c r="T16" s="21"/>
      <c r="U16" s="21" t="s">
        <v>217</v>
      </c>
      <c r="V16" s="21" t="s">
        <v>218</v>
      </c>
    </row>
    <row r="17" spans="1:22" ht="150" customHeight="1" x14ac:dyDescent="0.35">
      <c r="A17" s="37"/>
      <c r="B17" s="35">
        <f t="shared" si="0"/>
        <v>11</v>
      </c>
      <c r="C17" s="60" t="s">
        <v>219</v>
      </c>
      <c r="D17" s="21" t="s">
        <v>143</v>
      </c>
      <c r="E17" s="21" t="s">
        <v>153</v>
      </c>
      <c r="F17" s="21" t="s">
        <v>220</v>
      </c>
      <c r="G17" s="21" t="s">
        <v>184</v>
      </c>
      <c r="H17" s="21" t="s">
        <v>221</v>
      </c>
      <c r="I17" s="21" t="s">
        <v>192</v>
      </c>
      <c r="J17" s="21" t="s">
        <v>222</v>
      </c>
      <c r="K17" s="21" t="s">
        <v>223</v>
      </c>
      <c r="L17" s="21" t="s">
        <v>224</v>
      </c>
      <c r="M17" s="42" t="s">
        <v>225</v>
      </c>
      <c r="N17" s="42" t="s">
        <v>226</v>
      </c>
      <c r="O17" s="42" t="s">
        <v>227</v>
      </c>
      <c r="P17" s="42" t="s">
        <v>171</v>
      </c>
      <c r="Q17" s="42" t="s">
        <v>228</v>
      </c>
      <c r="R17" s="42" t="s">
        <v>229</v>
      </c>
      <c r="S17" s="61" t="s">
        <v>230</v>
      </c>
      <c r="T17" s="61" t="s">
        <v>231</v>
      </c>
      <c r="U17" s="61" t="s">
        <v>232</v>
      </c>
      <c r="V17" s="61" t="s">
        <v>233</v>
      </c>
    </row>
    <row r="18" spans="1:22" ht="31" x14ac:dyDescent="0.35">
      <c r="A18" s="58"/>
      <c r="B18" s="59">
        <f t="shared" si="0"/>
        <v>12</v>
      </c>
      <c r="C18" s="60" t="s">
        <v>234</v>
      </c>
      <c r="D18" s="60" t="s">
        <v>143</v>
      </c>
      <c r="E18" s="60" t="s">
        <v>153</v>
      </c>
      <c r="F18" s="60" t="s">
        <v>235</v>
      </c>
      <c r="G18" s="60" t="s">
        <v>184</v>
      </c>
      <c r="H18" s="60"/>
      <c r="I18" s="60"/>
      <c r="J18" s="60" t="s">
        <v>236</v>
      </c>
      <c r="K18" s="60" t="s">
        <v>237</v>
      </c>
      <c r="L18" s="60" t="s">
        <v>238</v>
      </c>
      <c r="M18" s="60" t="s">
        <v>238</v>
      </c>
      <c r="N18" s="60" t="s">
        <v>239</v>
      </c>
      <c r="O18" s="60" t="s">
        <v>239</v>
      </c>
      <c r="P18" s="60" t="s">
        <v>171</v>
      </c>
      <c r="Q18" s="60" t="s">
        <v>239</v>
      </c>
      <c r="R18" s="60" t="s">
        <v>239</v>
      </c>
      <c r="S18" s="60" t="s">
        <v>239</v>
      </c>
      <c r="T18" s="60" t="s">
        <v>239</v>
      </c>
      <c r="U18" s="60" t="s">
        <v>239</v>
      </c>
      <c r="V18" s="60" t="s">
        <v>239</v>
      </c>
    </row>
    <row r="19" spans="1:22" s="65" customFormat="1" ht="170.5" x14ac:dyDescent="0.35">
      <c r="A19" s="58"/>
      <c r="B19" s="59">
        <f t="shared" si="0"/>
        <v>13</v>
      </c>
      <c r="C19" s="60" t="s">
        <v>240</v>
      </c>
      <c r="D19" s="60" t="s">
        <v>143</v>
      </c>
      <c r="E19" s="60" t="s">
        <v>153</v>
      </c>
      <c r="F19" s="60" t="s">
        <v>241</v>
      </c>
      <c r="G19" s="60" t="s">
        <v>184</v>
      </c>
      <c r="H19" s="60"/>
      <c r="I19" s="60"/>
      <c r="J19" s="60" t="s">
        <v>242</v>
      </c>
      <c r="K19" s="60" t="s">
        <v>243</v>
      </c>
      <c r="L19" s="60" t="s">
        <v>244</v>
      </c>
      <c r="M19" s="60" t="s">
        <v>245</v>
      </c>
      <c r="N19" s="60" t="s">
        <v>246</v>
      </c>
      <c r="O19" s="60" t="s">
        <v>247</v>
      </c>
      <c r="P19" s="60" t="s">
        <v>171</v>
      </c>
      <c r="Q19" s="60" t="s">
        <v>248</v>
      </c>
      <c r="R19" s="60" t="s">
        <v>249</v>
      </c>
      <c r="S19" s="60"/>
      <c r="T19" s="60"/>
      <c r="U19" s="60" t="s">
        <v>250</v>
      </c>
      <c r="V19" s="60"/>
    </row>
    <row r="20" spans="1:22" s="65" customFormat="1" ht="409.5" x14ac:dyDescent="0.35">
      <c r="A20" s="58"/>
      <c r="B20" s="59">
        <f>B24+1</f>
        <v>18</v>
      </c>
      <c r="C20" s="60" t="s">
        <v>251</v>
      </c>
      <c r="D20" s="60" t="s">
        <v>143</v>
      </c>
      <c r="E20" s="60" t="s">
        <v>144</v>
      </c>
      <c r="F20" s="63" t="s">
        <v>252</v>
      </c>
      <c r="G20" s="63" t="s">
        <v>184</v>
      </c>
      <c r="H20" s="63" t="s">
        <v>253</v>
      </c>
      <c r="I20" s="63"/>
      <c r="J20" s="64" t="s">
        <v>254</v>
      </c>
      <c r="K20" s="64" t="s">
        <v>255</v>
      </c>
      <c r="L20" s="64" t="s">
        <v>256</v>
      </c>
      <c r="M20" s="64" t="s">
        <v>257</v>
      </c>
      <c r="N20" s="64" t="s">
        <v>258</v>
      </c>
      <c r="O20" s="64" t="s">
        <v>259</v>
      </c>
      <c r="P20" s="64" t="s">
        <v>260</v>
      </c>
      <c r="Q20" s="64" t="s">
        <v>261</v>
      </c>
      <c r="R20" s="64" t="s">
        <v>262</v>
      </c>
      <c r="S20" s="64" t="s">
        <v>263</v>
      </c>
      <c r="T20" s="64"/>
      <c r="U20" s="64" t="s">
        <v>264</v>
      </c>
      <c r="V20" s="64" t="s">
        <v>265</v>
      </c>
    </row>
    <row r="21" spans="1:22" ht="62" x14ac:dyDescent="0.35">
      <c r="A21" s="58"/>
      <c r="B21" s="59">
        <f>B19+1</f>
        <v>14</v>
      </c>
      <c r="C21" s="60" t="s">
        <v>266</v>
      </c>
      <c r="D21" s="60" t="s">
        <v>114</v>
      </c>
      <c r="E21" s="60" t="s">
        <v>153</v>
      </c>
      <c r="F21" s="60" t="s">
        <v>267</v>
      </c>
      <c r="G21" s="60" t="s">
        <v>184</v>
      </c>
      <c r="H21" s="60"/>
      <c r="I21" s="60"/>
      <c r="J21" s="60" t="s">
        <v>268</v>
      </c>
      <c r="K21" s="60" t="s">
        <v>269</v>
      </c>
      <c r="L21" s="60" t="s">
        <v>268</v>
      </c>
      <c r="M21" s="60" t="s">
        <v>270</v>
      </c>
      <c r="N21" s="60" t="s">
        <v>271</v>
      </c>
      <c r="O21" s="60" t="s">
        <v>272</v>
      </c>
      <c r="P21" s="60" t="s">
        <v>171</v>
      </c>
      <c r="Q21" s="60" t="s">
        <v>273</v>
      </c>
      <c r="R21" s="60" t="s">
        <v>274</v>
      </c>
      <c r="S21" s="60"/>
      <c r="T21" s="60"/>
      <c r="U21" s="60"/>
      <c r="V21" s="60"/>
    </row>
    <row r="22" spans="1:22" ht="77.5" x14ac:dyDescent="0.35">
      <c r="A22" s="37"/>
      <c r="B22" s="35">
        <f t="shared" si="0"/>
        <v>15</v>
      </c>
      <c r="C22" s="21" t="s">
        <v>275</v>
      </c>
      <c r="D22" s="21" t="s">
        <v>114</v>
      </c>
      <c r="E22" s="21" t="s">
        <v>153</v>
      </c>
      <c r="F22" s="21" t="s">
        <v>276</v>
      </c>
      <c r="G22" s="21" t="s">
        <v>184</v>
      </c>
      <c r="H22" s="21"/>
      <c r="I22" s="21"/>
      <c r="J22" s="21" t="s">
        <v>277</v>
      </c>
      <c r="K22" s="21" t="s">
        <v>278</v>
      </c>
      <c r="L22" s="21" t="s">
        <v>279</v>
      </c>
      <c r="M22" s="21" t="s">
        <v>280</v>
      </c>
      <c r="N22" s="21" t="s">
        <v>281</v>
      </c>
      <c r="O22" s="21" t="s">
        <v>281</v>
      </c>
      <c r="P22" s="21" t="s">
        <v>171</v>
      </c>
      <c r="Q22" s="21"/>
      <c r="R22" s="21"/>
      <c r="S22" s="21"/>
      <c r="T22" s="21"/>
      <c r="U22" s="21"/>
      <c r="V22" s="21"/>
    </row>
    <row r="23" spans="1:22" ht="108.5" x14ac:dyDescent="0.35">
      <c r="A23" s="37"/>
      <c r="B23" s="35">
        <f t="shared" si="0"/>
        <v>16</v>
      </c>
      <c r="C23" s="21" t="s">
        <v>282</v>
      </c>
      <c r="D23" s="21" t="s">
        <v>143</v>
      </c>
      <c r="E23" s="21" t="s">
        <v>153</v>
      </c>
      <c r="F23" s="21" t="s">
        <v>283</v>
      </c>
      <c r="G23" s="21" t="s">
        <v>184</v>
      </c>
      <c r="H23" s="24" t="s">
        <v>284</v>
      </c>
      <c r="I23" s="21" t="s">
        <v>285</v>
      </c>
      <c r="J23" s="21" t="s">
        <v>171</v>
      </c>
      <c r="K23" s="21" t="s">
        <v>286</v>
      </c>
      <c r="L23" s="21" t="s">
        <v>287</v>
      </c>
      <c r="M23" s="21" t="s">
        <v>288</v>
      </c>
      <c r="N23" s="21" t="s">
        <v>288</v>
      </c>
      <c r="O23" s="21"/>
      <c r="P23" s="21" t="s">
        <v>171</v>
      </c>
      <c r="Q23" s="21"/>
      <c r="R23" s="21"/>
      <c r="S23" s="21"/>
      <c r="T23" s="21"/>
      <c r="U23" s="21"/>
      <c r="V23" s="21"/>
    </row>
    <row r="24" spans="1:22" ht="186" x14ac:dyDescent="0.35">
      <c r="A24" s="37"/>
      <c r="B24" s="35">
        <f t="shared" si="0"/>
        <v>17</v>
      </c>
      <c r="C24" s="21" t="s">
        <v>289</v>
      </c>
      <c r="D24" s="21" t="s">
        <v>114</v>
      </c>
      <c r="E24" s="21" t="s">
        <v>144</v>
      </c>
      <c r="F24" s="21" t="s">
        <v>290</v>
      </c>
      <c r="G24" s="21" t="s">
        <v>184</v>
      </c>
      <c r="H24" s="21" t="s">
        <v>291</v>
      </c>
      <c r="I24" s="21"/>
      <c r="J24" s="21" t="s">
        <v>171</v>
      </c>
      <c r="K24" s="21" t="s">
        <v>292</v>
      </c>
      <c r="L24" s="21" t="s">
        <v>293</v>
      </c>
      <c r="M24" s="21" t="s">
        <v>294</v>
      </c>
      <c r="N24" s="21" t="s">
        <v>295</v>
      </c>
      <c r="O24" s="21"/>
      <c r="P24" s="21"/>
      <c r="Q24" s="21"/>
      <c r="R24" s="21"/>
      <c r="S24" s="21"/>
      <c r="T24" s="21"/>
      <c r="U24" s="21"/>
      <c r="V24" s="21"/>
    </row>
    <row r="25" spans="1:22" ht="108.5" x14ac:dyDescent="0.35">
      <c r="A25" s="33"/>
      <c r="B25" s="35">
        <f>B20+1</f>
        <v>19</v>
      </c>
      <c r="C25" s="21" t="s">
        <v>296</v>
      </c>
      <c r="D25" s="21" t="s">
        <v>143</v>
      </c>
      <c r="E25" s="21" t="s">
        <v>144</v>
      </c>
      <c r="F25" s="24" t="s">
        <v>297</v>
      </c>
      <c r="G25" s="24" t="s">
        <v>184</v>
      </c>
      <c r="H25" s="24" t="s">
        <v>298</v>
      </c>
      <c r="J25" s="24" t="s">
        <v>171</v>
      </c>
      <c r="K25" s="24" t="s">
        <v>299</v>
      </c>
      <c r="L25" s="24" t="s">
        <v>300</v>
      </c>
      <c r="M25" s="24" t="s">
        <v>301</v>
      </c>
      <c r="N25" s="24" t="s">
        <v>288</v>
      </c>
      <c r="Q25" s="24" t="s">
        <v>302</v>
      </c>
      <c r="R25" s="24" t="s">
        <v>303</v>
      </c>
      <c r="U25" s="24" t="s">
        <v>304</v>
      </c>
    </row>
    <row r="26" spans="1:22" ht="139.5" x14ac:dyDescent="0.35">
      <c r="A26" s="37"/>
      <c r="B26" s="35">
        <f t="shared" si="0"/>
        <v>20</v>
      </c>
      <c r="C26" s="21" t="s">
        <v>23</v>
      </c>
      <c r="D26" s="21" t="s">
        <v>143</v>
      </c>
      <c r="E26" s="21" t="s">
        <v>305</v>
      </c>
      <c r="F26" s="24" t="s">
        <v>306</v>
      </c>
      <c r="G26" s="24" t="s">
        <v>184</v>
      </c>
      <c r="H26" s="24" t="s">
        <v>307</v>
      </c>
      <c r="J26" s="24" t="s">
        <v>308</v>
      </c>
      <c r="K26" s="24" t="s">
        <v>309</v>
      </c>
      <c r="L26" s="24" t="s">
        <v>310</v>
      </c>
      <c r="M26" s="24" t="s">
        <v>311</v>
      </c>
      <c r="N26" s="24" t="s">
        <v>312</v>
      </c>
      <c r="O26" s="24" t="s">
        <v>313</v>
      </c>
      <c r="P26" s="24" t="s">
        <v>314</v>
      </c>
      <c r="Q26" s="24" t="s">
        <v>315</v>
      </c>
      <c r="R26" s="24" t="s">
        <v>316</v>
      </c>
      <c r="S26" s="24" t="s">
        <v>317</v>
      </c>
      <c r="U26" s="24" t="s">
        <v>318</v>
      </c>
      <c r="V26" s="24" t="s">
        <v>319</v>
      </c>
    </row>
    <row r="27" spans="1:22" ht="341" x14ac:dyDescent="0.35">
      <c r="A27" s="38"/>
      <c r="B27" s="39">
        <f t="shared" si="0"/>
        <v>21</v>
      </c>
      <c r="C27" s="27" t="s">
        <v>320</v>
      </c>
      <c r="D27" s="27" t="s">
        <v>114</v>
      </c>
      <c r="E27" s="27" t="s">
        <v>144</v>
      </c>
      <c r="F27" s="27" t="s">
        <v>321</v>
      </c>
      <c r="G27" s="27" t="s">
        <v>184</v>
      </c>
      <c r="H27" s="27" t="s">
        <v>322</v>
      </c>
      <c r="I27" s="27" t="s">
        <v>323</v>
      </c>
      <c r="J27" s="27" t="s">
        <v>171</v>
      </c>
      <c r="K27" s="27" t="s">
        <v>324</v>
      </c>
      <c r="L27" s="27" t="s">
        <v>325</v>
      </c>
      <c r="M27" s="27"/>
      <c r="N27" s="27" t="s">
        <v>326</v>
      </c>
      <c r="O27" s="21" t="s">
        <v>247</v>
      </c>
      <c r="P27" s="21"/>
      <c r="Q27" s="21"/>
      <c r="R27" s="21" t="s">
        <v>327</v>
      </c>
      <c r="S27" s="21"/>
      <c r="T27" s="21"/>
      <c r="U27" s="21"/>
      <c r="V27" s="21"/>
    </row>
    <row r="28" spans="1:22" s="36" customFormat="1" ht="155" x14ac:dyDescent="0.35">
      <c r="A28" s="37" t="s">
        <v>328</v>
      </c>
      <c r="B28" s="41">
        <f t="shared" si="0"/>
        <v>22</v>
      </c>
      <c r="C28" s="56" t="s">
        <v>329</v>
      </c>
      <c r="D28" s="56" t="s">
        <v>143</v>
      </c>
      <c r="E28" s="56" t="s">
        <v>153</v>
      </c>
      <c r="F28" s="56" t="s">
        <v>330</v>
      </c>
      <c r="G28" s="56" t="s">
        <v>184</v>
      </c>
      <c r="H28" s="56" t="s">
        <v>331</v>
      </c>
      <c r="I28" s="56"/>
      <c r="J28" s="57" t="s">
        <v>332</v>
      </c>
      <c r="K28" s="57" t="s">
        <v>333</v>
      </c>
      <c r="L28" s="57" t="s">
        <v>334</v>
      </c>
      <c r="M28" s="57"/>
      <c r="N28" s="57"/>
      <c r="O28" s="57"/>
      <c r="P28" s="57"/>
      <c r="Q28" s="57" t="s">
        <v>335</v>
      </c>
      <c r="R28" s="57"/>
      <c r="S28" s="57"/>
      <c r="T28" s="57"/>
      <c r="U28" s="57"/>
      <c r="V28" s="57"/>
    </row>
    <row r="29" spans="1:22" ht="155" x14ac:dyDescent="0.35">
      <c r="A29" s="37"/>
      <c r="B29" s="35">
        <f t="shared" si="0"/>
        <v>23</v>
      </c>
      <c r="C29" s="23" t="s">
        <v>336</v>
      </c>
      <c r="D29" s="23" t="s">
        <v>143</v>
      </c>
      <c r="E29" s="23" t="s">
        <v>305</v>
      </c>
      <c r="F29" s="25" t="s">
        <v>337</v>
      </c>
      <c r="G29" s="25" t="s">
        <v>184</v>
      </c>
      <c r="H29" s="25" t="s">
        <v>338</v>
      </c>
      <c r="I29" s="25"/>
      <c r="J29" s="25" t="s">
        <v>339</v>
      </c>
      <c r="K29" s="25" t="s">
        <v>340</v>
      </c>
      <c r="L29" s="25" t="s">
        <v>341</v>
      </c>
      <c r="M29" s="25"/>
      <c r="N29" s="25"/>
      <c r="O29" s="25"/>
      <c r="P29" s="25"/>
      <c r="Q29" s="25"/>
      <c r="R29" s="25" t="s">
        <v>342</v>
      </c>
      <c r="S29" s="25"/>
      <c r="T29" s="25"/>
      <c r="U29" s="25"/>
      <c r="V29" s="25"/>
    </row>
    <row r="30" spans="1:22" ht="155" x14ac:dyDescent="0.35">
      <c r="A30" s="37"/>
      <c r="B30" s="35">
        <f t="shared" si="0"/>
        <v>24</v>
      </c>
      <c r="C30" s="21" t="s">
        <v>343</v>
      </c>
      <c r="D30" s="21" t="s">
        <v>114</v>
      </c>
      <c r="E30" s="21" t="s">
        <v>144</v>
      </c>
      <c r="F30" s="24" t="s">
        <v>344</v>
      </c>
      <c r="G30" s="24" t="s">
        <v>184</v>
      </c>
      <c r="H30" s="24" t="s">
        <v>345</v>
      </c>
      <c r="J30" s="24" t="s">
        <v>346</v>
      </c>
      <c r="K30" s="24" t="s">
        <v>347</v>
      </c>
      <c r="L30" s="24" t="s">
        <v>348</v>
      </c>
    </row>
    <row r="31" spans="1:22" ht="132.65" customHeight="1" x14ac:dyDescent="0.35">
      <c r="A31" s="37"/>
      <c r="B31" s="35">
        <f t="shared" si="0"/>
        <v>25</v>
      </c>
      <c r="C31" s="21" t="s">
        <v>349</v>
      </c>
      <c r="D31" s="21" t="s">
        <v>143</v>
      </c>
      <c r="E31" s="21" t="s">
        <v>153</v>
      </c>
      <c r="F31" s="24" t="s">
        <v>350</v>
      </c>
      <c r="G31" s="24" t="s">
        <v>184</v>
      </c>
      <c r="H31" s="24" t="s">
        <v>351</v>
      </c>
      <c r="I31" s="24" t="s">
        <v>352</v>
      </c>
      <c r="J31" s="46" t="s">
        <v>353</v>
      </c>
      <c r="K31" s="46" t="s">
        <v>354</v>
      </c>
      <c r="L31" s="46" t="s">
        <v>355</v>
      </c>
      <c r="M31" s="46"/>
      <c r="N31" s="46"/>
      <c r="O31" s="46"/>
      <c r="P31" s="46"/>
      <c r="Q31" s="46"/>
      <c r="R31" s="46"/>
      <c r="S31" s="46"/>
      <c r="T31" s="46"/>
      <c r="U31" s="46"/>
      <c r="V31" s="46"/>
    </row>
    <row r="32" spans="1:22" ht="186" x14ac:dyDescent="0.35">
      <c r="A32" s="38"/>
      <c r="B32" s="39">
        <f t="shared" si="0"/>
        <v>26</v>
      </c>
      <c r="C32" s="22" t="s">
        <v>356</v>
      </c>
      <c r="D32" s="22" t="s">
        <v>143</v>
      </c>
      <c r="E32" s="22" t="s">
        <v>153</v>
      </c>
      <c r="F32" s="29" t="s">
        <v>357</v>
      </c>
      <c r="G32" s="29"/>
      <c r="H32" s="29"/>
      <c r="I32" s="29"/>
      <c r="J32" s="29" t="s">
        <v>358</v>
      </c>
      <c r="K32" s="29" t="s">
        <v>359</v>
      </c>
      <c r="L32" s="29" t="s">
        <v>360</v>
      </c>
      <c r="M32" s="29"/>
      <c r="N32" s="29"/>
      <c r="O32" s="29"/>
      <c r="P32" s="29"/>
      <c r="Q32" s="29"/>
      <c r="R32" s="29"/>
      <c r="S32" s="29"/>
      <c r="T32" s="29"/>
      <c r="U32" s="29"/>
      <c r="V32" s="29"/>
    </row>
    <row r="33" spans="1:22" ht="221.15" customHeight="1" x14ac:dyDescent="0.35">
      <c r="A33" s="37" t="s">
        <v>361</v>
      </c>
      <c r="B33" s="41">
        <f t="shared" si="0"/>
        <v>27</v>
      </c>
      <c r="C33" s="43" t="s">
        <v>362</v>
      </c>
      <c r="D33" s="43" t="s">
        <v>143</v>
      </c>
      <c r="E33" s="43" t="s">
        <v>144</v>
      </c>
      <c r="F33" s="30" t="s">
        <v>363</v>
      </c>
      <c r="G33" s="30" t="s">
        <v>184</v>
      </c>
      <c r="H33" s="30" t="s">
        <v>364</v>
      </c>
      <c r="I33" s="30" t="s">
        <v>365</v>
      </c>
      <c r="J33" s="30" t="s">
        <v>171</v>
      </c>
      <c r="K33" s="30" t="s">
        <v>366</v>
      </c>
      <c r="L33" s="30" t="s">
        <v>367</v>
      </c>
      <c r="M33" s="30"/>
      <c r="N33" s="30"/>
      <c r="O33" s="30" t="s">
        <v>368</v>
      </c>
      <c r="P33" s="30"/>
      <c r="Q33" s="30"/>
      <c r="R33" s="30"/>
      <c r="S33" s="30"/>
      <c r="T33" s="30"/>
      <c r="U33" s="30"/>
      <c r="V33" s="30"/>
    </row>
    <row r="34" spans="1:22" s="36" customFormat="1" ht="139.5" x14ac:dyDescent="0.35">
      <c r="A34" s="37"/>
      <c r="B34" s="35">
        <f t="shared" si="0"/>
        <v>28</v>
      </c>
      <c r="C34" s="47" t="s">
        <v>369</v>
      </c>
      <c r="D34" s="47" t="s">
        <v>143</v>
      </c>
      <c r="E34" s="47" t="s">
        <v>144</v>
      </c>
      <c r="F34" s="48" t="s">
        <v>370</v>
      </c>
      <c r="G34" s="48" t="s">
        <v>184</v>
      </c>
      <c r="H34" s="48" t="s">
        <v>371</v>
      </c>
      <c r="I34" s="48" t="s">
        <v>365</v>
      </c>
      <c r="J34" s="48" t="s">
        <v>171</v>
      </c>
      <c r="K34" s="48" t="s">
        <v>171</v>
      </c>
      <c r="L34" s="48" t="s">
        <v>372</v>
      </c>
      <c r="M34" s="48"/>
      <c r="N34" s="48"/>
      <c r="O34" s="48"/>
      <c r="P34" s="48"/>
      <c r="Q34" s="48"/>
      <c r="R34" s="48"/>
      <c r="S34" s="48"/>
      <c r="T34" s="48"/>
      <c r="U34" s="48"/>
      <c r="V34" s="48"/>
    </row>
    <row r="35" spans="1:22" s="36" customFormat="1" ht="31" x14ac:dyDescent="0.35">
      <c r="A35" s="37"/>
      <c r="B35" s="35">
        <f t="shared" si="0"/>
        <v>29</v>
      </c>
      <c r="C35" s="47" t="s">
        <v>373</v>
      </c>
      <c r="D35" s="47" t="s">
        <v>143</v>
      </c>
      <c r="E35" s="47" t="s">
        <v>144</v>
      </c>
      <c r="F35" s="49" t="s">
        <v>374</v>
      </c>
      <c r="G35" s="49"/>
      <c r="H35" s="49"/>
      <c r="I35" s="49"/>
      <c r="J35" s="49" t="s">
        <v>171</v>
      </c>
      <c r="K35" s="49" t="s">
        <v>171</v>
      </c>
      <c r="L35" s="49" t="s">
        <v>117</v>
      </c>
      <c r="M35" s="49"/>
      <c r="N35" s="49"/>
      <c r="O35" s="49"/>
      <c r="P35" s="49"/>
      <c r="Q35" s="49"/>
      <c r="R35" s="49"/>
      <c r="S35" s="49"/>
      <c r="T35" s="49"/>
      <c r="U35" s="49"/>
      <c r="V35" s="49"/>
    </row>
    <row r="36" spans="1:22" s="36" customFormat="1" ht="93" x14ac:dyDescent="0.35">
      <c r="A36" s="37"/>
      <c r="B36" s="35">
        <f t="shared" si="0"/>
        <v>30</v>
      </c>
      <c r="C36" s="47" t="s">
        <v>375</v>
      </c>
      <c r="D36" s="47" t="s">
        <v>143</v>
      </c>
      <c r="E36" s="47" t="s">
        <v>144</v>
      </c>
      <c r="F36" s="49" t="s">
        <v>376</v>
      </c>
      <c r="G36" s="49"/>
      <c r="H36" s="49" t="s">
        <v>377</v>
      </c>
      <c r="I36" s="49" t="s">
        <v>378</v>
      </c>
      <c r="J36" s="49" t="s">
        <v>171</v>
      </c>
      <c r="K36" s="49" t="s">
        <v>171</v>
      </c>
      <c r="L36" s="49" t="s">
        <v>117</v>
      </c>
      <c r="M36" s="49"/>
      <c r="N36" s="49"/>
      <c r="O36" s="49" t="s">
        <v>379</v>
      </c>
      <c r="P36" s="49"/>
      <c r="Q36" s="49"/>
      <c r="R36" s="49"/>
      <c r="S36" s="49"/>
      <c r="T36" s="49"/>
      <c r="U36" s="49"/>
      <c r="V36" s="49"/>
    </row>
    <row r="37" spans="1:22" ht="77.5" x14ac:dyDescent="0.35">
      <c r="A37" s="37"/>
      <c r="B37" s="35">
        <f t="shared" si="0"/>
        <v>31</v>
      </c>
      <c r="C37" s="21" t="s">
        <v>380</v>
      </c>
      <c r="D37" s="21" t="s">
        <v>143</v>
      </c>
      <c r="E37" s="21" t="s">
        <v>144</v>
      </c>
      <c r="F37" s="24" t="s">
        <v>381</v>
      </c>
      <c r="G37" s="24" t="s">
        <v>184</v>
      </c>
      <c r="I37" s="24" t="s">
        <v>382</v>
      </c>
      <c r="J37" s="24" t="s">
        <v>171</v>
      </c>
      <c r="K37" s="24" t="s">
        <v>383</v>
      </c>
      <c r="L37" s="24" t="s">
        <v>384</v>
      </c>
    </row>
    <row r="38" spans="1:22" x14ac:dyDescent="0.35">
      <c r="A38" s="38"/>
      <c r="B38" s="39">
        <f t="shared" si="0"/>
        <v>32</v>
      </c>
      <c r="C38" s="22" t="s">
        <v>385</v>
      </c>
      <c r="D38" s="22" t="s">
        <v>143</v>
      </c>
      <c r="E38" s="22" t="s">
        <v>144</v>
      </c>
      <c r="F38" s="31" t="s">
        <v>386</v>
      </c>
      <c r="G38" s="31" t="s">
        <v>184</v>
      </c>
      <c r="H38" s="31"/>
      <c r="I38" s="31"/>
      <c r="J38" s="31" t="s">
        <v>171</v>
      </c>
      <c r="K38" s="31" t="s">
        <v>171</v>
      </c>
      <c r="L38" s="31" t="s">
        <v>387</v>
      </c>
      <c r="M38" s="31"/>
      <c r="N38" s="31"/>
      <c r="O38" s="31"/>
      <c r="P38" s="31"/>
      <c r="Q38" s="31"/>
      <c r="R38" s="31"/>
      <c r="S38" s="31"/>
      <c r="T38" s="31"/>
      <c r="U38" s="31"/>
      <c r="V38" s="31"/>
    </row>
    <row r="39" spans="1:22" ht="93" x14ac:dyDescent="0.35">
      <c r="A39" s="37" t="s">
        <v>388</v>
      </c>
      <c r="B39" s="35">
        <f t="shared" si="0"/>
        <v>33</v>
      </c>
      <c r="C39" s="21" t="s">
        <v>40</v>
      </c>
      <c r="D39" s="21" t="s">
        <v>143</v>
      </c>
      <c r="E39" s="21" t="s">
        <v>305</v>
      </c>
      <c r="F39" s="24" t="s">
        <v>389</v>
      </c>
      <c r="G39" s="24" t="s">
        <v>184</v>
      </c>
      <c r="H39" s="24" t="s">
        <v>390</v>
      </c>
      <c r="I39" s="24" t="s">
        <v>391</v>
      </c>
      <c r="J39" s="24" t="s">
        <v>171</v>
      </c>
      <c r="K39" s="24" t="s">
        <v>392</v>
      </c>
      <c r="L39" s="24" t="s">
        <v>43</v>
      </c>
    </row>
    <row r="40" spans="1:22" ht="124" x14ac:dyDescent="0.35">
      <c r="A40" s="37"/>
      <c r="B40" s="35">
        <f t="shared" si="0"/>
        <v>34</v>
      </c>
      <c r="C40" s="21" t="s">
        <v>393</v>
      </c>
      <c r="D40" s="21" t="s">
        <v>143</v>
      </c>
      <c r="E40" s="21" t="s">
        <v>144</v>
      </c>
      <c r="F40" s="24" t="s">
        <v>394</v>
      </c>
      <c r="G40" s="24" t="s">
        <v>184</v>
      </c>
      <c r="H40" s="24" t="s">
        <v>395</v>
      </c>
      <c r="J40" s="24" t="s">
        <v>396</v>
      </c>
      <c r="K40" s="24" t="s">
        <v>397</v>
      </c>
      <c r="L40" s="24" t="s">
        <v>398</v>
      </c>
    </row>
    <row r="41" spans="1:22" ht="77.5" x14ac:dyDescent="0.35">
      <c r="A41" s="37"/>
      <c r="B41" s="35">
        <f t="shared" si="0"/>
        <v>35</v>
      </c>
      <c r="C41" s="21" t="s">
        <v>44</v>
      </c>
      <c r="D41" s="21" t="s">
        <v>143</v>
      </c>
      <c r="E41" s="21" t="s">
        <v>144</v>
      </c>
      <c r="F41" s="24" t="s">
        <v>399</v>
      </c>
      <c r="G41" s="24" t="s">
        <v>184</v>
      </c>
      <c r="H41" s="24" t="s">
        <v>400</v>
      </c>
      <c r="J41" s="24" t="s">
        <v>171</v>
      </c>
      <c r="K41" s="24" t="s">
        <v>401</v>
      </c>
      <c r="L41" s="24" t="s">
        <v>402</v>
      </c>
    </row>
    <row r="42" spans="1:22" ht="93" x14ac:dyDescent="0.35">
      <c r="A42" s="37"/>
      <c r="B42" s="35">
        <f t="shared" si="0"/>
        <v>36</v>
      </c>
      <c r="C42" s="23" t="s">
        <v>403</v>
      </c>
      <c r="D42" s="23" t="s">
        <v>143</v>
      </c>
      <c r="E42" s="23" t="s">
        <v>144</v>
      </c>
      <c r="F42" s="25" t="s">
        <v>404</v>
      </c>
      <c r="G42" s="25"/>
      <c r="H42" s="25" t="s">
        <v>405</v>
      </c>
      <c r="I42" s="25"/>
      <c r="J42" s="25" t="s">
        <v>171</v>
      </c>
      <c r="K42" s="25" t="s">
        <v>401</v>
      </c>
      <c r="L42" s="25" t="s">
        <v>406</v>
      </c>
      <c r="M42" s="25"/>
      <c r="N42" s="25"/>
      <c r="O42" s="25"/>
      <c r="P42" s="25"/>
      <c r="Q42" s="25"/>
      <c r="R42" s="25"/>
      <c r="S42" s="25"/>
      <c r="T42" s="25"/>
      <c r="U42" s="25"/>
      <c r="V42" s="25"/>
    </row>
    <row r="43" spans="1:22" x14ac:dyDescent="0.35">
      <c r="A43" s="21"/>
      <c r="B43" s="44"/>
    </row>
  </sheetData>
  <autoFilter ref="A3:L42" xr:uid="{B0E4F800-E741-4A79-AEB3-0988D5C890DD}"/>
  <mergeCells count="1">
    <mergeCell ref="A6:A10"/>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6DDBF-1AEE-4BE6-A4C6-20F23ED3EAF1}">
  <dimension ref="A1:Z28"/>
  <sheetViews>
    <sheetView workbookViewId="0">
      <pane xSplit="3" ySplit="2" topLeftCell="P3" activePane="bottomRight" state="frozen"/>
      <selection activeCell="A17" sqref="A17"/>
      <selection pane="topRight" activeCell="A17" sqref="A17"/>
      <selection pane="bottomLeft" activeCell="A17" sqref="A17"/>
      <selection pane="bottomRight" activeCell="A17" sqref="A17"/>
    </sheetView>
  </sheetViews>
  <sheetFormatPr defaultRowHeight="14.5" x14ac:dyDescent="0.35"/>
  <cols>
    <col min="1" max="1" width="75.7265625" bestFit="1" customWidth="1"/>
    <col min="2" max="2" width="66.26953125" bestFit="1" customWidth="1"/>
    <col min="4" max="4" width="44.26953125" customWidth="1"/>
    <col min="5" max="5" width="32.81640625" customWidth="1"/>
    <col min="6" max="25" width="30.7265625" customWidth="1"/>
    <col min="26" max="26" width="27.1796875" bestFit="1" customWidth="1"/>
  </cols>
  <sheetData>
    <row r="1" spans="1:26" x14ac:dyDescent="0.35">
      <c r="D1" s="67" t="s">
        <v>564</v>
      </c>
      <c r="E1" s="67" t="s">
        <v>565</v>
      </c>
      <c r="F1" s="67" t="s">
        <v>566</v>
      </c>
      <c r="G1" s="67" t="s">
        <v>567</v>
      </c>
      <c r="H1" s="67" t="s">
        <v>568</v>
      </c>
      <c r="I1" s="67" t="s">
        <v>576</v>
      </c>
      <c r="J1" s="67" t="s">
        <v>569</v>
      </c>
      <c r="K1" s="67" t="s">
        <v>570</v>
      </c>
      <c r="L1" s="67" t="s">
        <v>571</v>
      </c>
      <c r="M1" s="67" t="s">
        <v>572</v>
      </c>
      <c r="N1" s="67" t="s">
        <v>573</v>
      </c>
      <c r="O1" s="67" t="s">
        <v>574</v>
      </c>
      <c r="P1" s="67" t="s">
        <v>575</v>
      </c>
      <c r="Q1" s="67" t="s">
        <v>578</v>
      </c>
      <c r="R1" s="67" t="s">
        <v>580</v>
      </c>
      <c r="S1" s="69" t="s">
        <v>577</v>
      </c>
      <c r="T1" s="69" t="s">
        <v>577</v>
      </c>
      <c r="U1" s="69" t="s">
        <v>577</v>
      </c>
      <c r="V1" s="69" t="s">
        <v>577</v>
      </c>
      <c r="W1" s="69" t="s">
        <v>577</v>
      </c>
      <c r="X1" s="69" t="s">
        <v>577</v>
      </c>
      <c r="Y1" s="69" t="s">
        <v>577</v>
      </c>
      <c r="Z1" s="69" t="s">
        <v>577</v>
      </c>
    </row>
    <row r="2" spans="1:26" x14ac:dyDescent="0.35">
      <c r="A2" s="66" t="s">
        <v>407</v>
      </c>
      <c r="B2" s="66" t="s">
        <v>506</v>
      </c>
      <c r="C2" s="66" t="s">
        <v>475</v>
      </c>
      <c r="D2" s="66" t="s">
        <v>189</v>
      </c>
      <c r="E2" s="66" t="s">
        <v>205</v>
      </c>
      <c r="F2" s="66" t="s">
        <v>219</v>
      </c>
      <c r="G2" s="66" t="s">
        <v>234</v>
      </c>
      <c r="H2" s="66" t="s">
        <v>240</v>
      </c>
      <c r="I2" s="66" t="s">
        <v>266</v>
      </c>
      <c r="J2" s="66" t="s">
        <v>275</v>
      </c>
      <c r="K2" s="66" t="s">
        <v>282</v>
      </c>
      <c r="L2" s="66" t="s">
        <v>289</v>
      </c>
      <c r="M2" s="66" t="s">
        <v>251</v>
      </c>
      <c r="N2" s="66" t="s">
        <v>296</v>
      </c>
      <c r="O2" s="66" t="s">
        <v>23</v>
      </c>
      <c r="P2" s="66" t="s">
        <v>320</v>
      </c>
      <c r="Q2" s="66" t="s">
        <v>579</v>
      </c>
      <c r="R2" s="66" t="s">
        <v>581</v>
      </c>
      <c r="S2" s="68" t="s">
        <v>329</v>
      </c>
      <c r="T2" s="68" t="s">
        <v>336</v>
      </c>
      <c r="U2" s="68" t="s">
        <v>343</v>
      </c>
      <c r="V2" s="68" t="s">
        <v>349</v>
      </c>
      <c r="W2" s="68" t="s">
        <v>356</v>
      </c>
      <c r="X2" s="68" t="s">
        <v>362</v>
      </c>
      <c r="Y2" s="68" t="s">
        <v>373</v>
      </c>
      <c r="Z2" s="68" t="s">
        <v>522</v>
      </c>
    </row>
    <row r="3" spans="1:26" x14ac:dyDescent="0.35">
      <c r="A3" t="s">
        <v>88</v>
      </c>
      <c r="B3" t="s">
        <v>463</v>
      </c>
      <c r="C3" t="s">
        <v>476</v>
      </c>
      <c r="D3" t="s">
        <v>193</v>
      </c>
      <c r="E3" t="s">
        <v>208</v>
      </c>
      <c r="F3" t="s">
        <v>222</v>
      </c>
      <c r="G3" t="s">
        <v>236</v>
      </c>
      <c r="H3" t="s">
        <v>242</v>
      </c>
      <c r="I3" t="s">
        <v>268</v>
      </c>
      <c r="J3" t="s">
        <v>277</v>
      </c>
      <c r="K3" t="s">
        <v>171</v>
      </c>
      <c r="L3" t="s">
        <v>171</v>
      </c>
      <c r="M3" t="s">
        <v>254</v>
      </c>
      <c r="N3" t="s">
        <v>171</v>
      </c>
      <c r="O3" t="s">
        <v>308</v>
      </c>
      <c r="P3" t="s">
        <v>171</v>
      </c>
    </row>
    <row r="4" spans="1:26" x14ac:dyDescent="0.35">
      <c r="A4" t="s">
        <v>89</v>
      </c>
      <c r="B4" t="s">
        <v>472</v>
      </c>
      <c r="C4" t="s">
        <v>476</v>
      </c>
      <c r="D4" t="s">
        <v>194</v>
      </c>
      <c r="E4" t="s">
        <v>209</v>
      </c>
      <c r="F4" t="s">
        <v>223</v>
      </c>
      <c r="G4" t="s">
        <v>237</v>
      </c>
      <c r="H4" t="s">
        <v>243</v>
      </c>
      <c r="I4" t="s">
        <v>269</v>
      </c>
      <c r="J4" t="s">
        <v>278</v>
      </c>
      <c r="K4" t="s">
        <v>286</v>
      </c>
      <c r="L4" t="s">
        <v>292</v>
      </c>
      <c r="M4" t="s">
        <v>255</v>
      </c>
      <c r="N4" t="s">
        <v>299</v>
      </c>
      <c r="O4" t="s">
        <v>309</v>
      </c>
      <c r="P4" t="s">
        <v>324</v>
      </c>
    </row>
    <row r="5" spans="1:26" x14ac:dyDescent="0.35">
      <c r="A5" t="s">
        <v>90</v>
      </c>
      <c r="B5" t="s">
        <v>471</v>
      </c>
      <c r="C5" t="s">
        <v>476</v>
      </c>
      <c r="D5" t="s">
        <v>195</v>
      </c>
      <c r="E5" t="s">
        <v>210</v>
      </c>
      <c r="F5" t="s">
        <v>224</v>
      </c>
      <c r="G5" t="s">
        <v>238</v>
      </c>
      <c r="H5" t="s">
        <v>244</v>
      </c>
      <c r="I5" t="s">
        <v>268</v>
      </c>
      <c r="J5" t="s">
        <v>279</v>
      </c>
      <c r="K5" t="s">
        <v>287</v>
      </c>
      <c r="L5" t="s">
        <v>293</v>
      </c>
      <c r="M5" t="s">
        <v>256</v>
      </c>
      <c r="N5" t="s">
        <v>300</v>
      </c>
      <c r="O5" t="s">
        <v>310</v>
      </c>
      <c r="P5" t="s">
        <v>325</v>
      </c>
    </row>
    <row r="6" spans="1:26" x14ac:dyDescent="0.35">
      <c r="A6" t="s">
        <v>91</v>
      </c>
      <c r="B6" t="s">
        <v>462</v>
      </c>
      <c r="C6" t="s">
        <v>476</v>
      </c>
      <c r="D6" t="s">
        <v>196</v>
      </c>
      <c r="E6" t="s">
        <v>211</v>
      </c>
      <c r="F6" t="s">
        <v>225</v>
      </c>
      <c r="G6" t="s">
        <v>238</v>
      </c>
      <c r="H6" t="s">
        <v>245</v>
      </c>
      <c r="I6" t="s">
        <v>270</v>
      </c>
      <c r="J6" t="s">
        <v>280</v>
      </c>
      <c r="K6" t="s">
        <v>288</v>
      </c>
      <c r="L6" t="s">
        <v>294</v>
      </c>
      <c r="M6" t="s">
        <v>257</v>
      </c>
      <c r="N6" t="s">
        <v>301</v>
      </c>
      <c r="O6" t="s">
        <v>311</v>
      </c>
    </row>
    <row r="7" spans="1:26" x14ac:dyDescent="0.35">
      <c r="A7" t="s">
        <v>92</v>
      </c>
      <c r="B7" t="s">
        <v>466</v>
      </c>
      <c r="C7" t="s">
        <v>476</v>
      </c>
      <c r="D7" t="s">
        <v>197</v>
      </c>
      <c r="E7" t="s">
        <v>212</v>
      </c>
      <c r="F7" t="s">
        <v>226</v>
      </c>
      <c r="G7" t="s">
        <v>239</v>
      </c>
      <c r="H7" t="s">
        <v>246</v>
      </c>
      <c r="I7" t="s">
        <v>271</v>
      </c>
      <c r="J7" t="s">
        <v>281</v>
      </c>
      <c r="K7" t="s">
        <v>288</v>
      </c>
      <c r="L7" t="s">
        <v>295</v>
      </c>
      <c r="M7" t="s">
        <v>258</v>
      </c>
      <c r="N7" t="s">
        <v>288</v>
      </c>
      <c r="O7" t="s">
        <v>312</v>
      </c>
      <c r="P7" t="s">
        <v>326</v>
      </c>
    </row>
    <row r="8" spans="1:26" x14ac:dyDescent="0.35">
      <c r="A8" t="s">
        <v>93</v>
      </c>
      <c r="B8" t="s">
        <v>467</v>
      </c>
      <c r="C8" t="s">
        <v>476</v>
      </c>
      <c r="D8" t="s">
        <v>198</v>
      </c>
      <c r="E8" t="s">
        <v>213</v>
      </c>
      <c r="F8" t="s">
        <v>227</v>
      </c>
      <c r="G8" t="s">
        <v>239</v>
      </c>
      <c r="H8" t="s">
        <v>247</v>
      </c>
      <c r="I8" t="s">
        <v>272</v>
      </c>
      <c r="J8" t="s">
        <v>281</v>
      </c>
      <c r="M8" t="s">
        <v>259</v>
      </c>
      <c r="O8" t="s">
        <v>313</v>
      </c>
      <c r="P8" t="s">
        <v>247</v>
      </c>
    </row>
    <row r="9" spans="1:26" x14ac:dyDescent="0.35">
      <c r="A9" t="s">
        <v>94</v>
      </c>
      <c r="B9" t="s">
        <v>468</v>
      </c>
      <c r="C9" t="s">
        <v>476</v>
      </c>
      <c r="D9" t="s">
        <v>199</v>
      </c>
      <c r="E9" t="s">
        <v>214</v>
      </c>
      <c r="F9" t="s">
        <v>171</v>
      </c>
      <c r="G9" t="s">
        <v>171</v>
      </c>
      <c r="H9" t="s">
        <v>171</v>
      </c>
      <c r="I9" t="s">
        <v>171</v>
      </c>
      <c r="J9" t="s">
        <v>171</v>
      </c>
      <c r="K9" t="s">
        <v>171</v>
      </c>
      <c r="M9" t="s">
        <v>260</v>
      </c>
      <c r="O9" t="s">
        <v>314</v>
      </c>
    </row>
    <row r="10" spans="1:26" x14ac:dyDescent="0.35">
      <c r="A10" t="s">
        <v>95</v>
      </c>
      <c r="B10" t="s">
        <v>469</v>
      </c>
      <c r="C10" t="s">
        <v>476</v>
      </c>
      <c r="D10" t="s">
        <v>200</v>
      </c>
      <c r="E10" t="s">
        <v>215</v>
      </c>
      <c r="F10" t="s">
        <v>228</v>
      </c>
      <c r="G10" t="s">
        <v>239</v>
      </c>
      <c r="H10" t="s">
        <v>248</v>
      </c>
      <c r="I10" t="s">
        <v>273</v>
      </c>
      <c r="M10" t="s">
        <v>261</v>
      </c>
      <c r="N10" t="s">
        <v>302</v>
      </c>
      <c r="O10" t="s">
        <v>315</v>
      </c>
    </row>
    <row r="11" spans="1:26" x14ac:dyDescent="0.35">
      <c r="A11" t="s">
        <v>96</v>
      </c>
      <c r="B11" t="s">
        <v>470</v>
      </c>
      <c r="C11" t="s">
        <v>476</v>
      </c>
      <c r="D11" t="s">
        <v>201</v>
      </c>
      <c r="E11" t="s">
        <v>216</v>
      </c>
      <c r="F11" t="s">
        <v>229</v>
      </c>
      <c r="G11" t="s">
        <v>239</v>
      </c>
      <c r="H11" t="s">
        <v>249</v>
      </c>
      <c r="I11" t="s">
        <v>274</v>
      </c>
      <c r="M11" t="s">
        <v>262</v>
      </c>
      <c r="N11" t="s">
        <v>303</v>
      </c>
      <c r="O11" t="s">
        <v>316</v>
      </c>
      <c r="P11" t="s">
        <v>327</v>
      </c>
    </row>
    <row r="12" spans="1:26" x14ac:dyDescent="0.35">
      <c r="A12" t="s">
        <v>97</v>
      </c>
      <c r="B12" t="s">
        <v>464</v>
      </c>
      <c r="C12" t="s">
        <v>476</v>
      </c>
      <c r="D12" t="s">
        <v>202</v>
      </c>
      <c r="F12" t="s">
        <v>230</v>
      </c>
      <c r="G12" t="s">
        <v>239</v>
      </c>
      <c r="M12" t="s">
        <v>263</v>
      </c>
      <c r="O12" t="s">
        <v>317</v>
      </c>
    </row>
    <row r="13" spans="1:26" x14ac:dyDescent="0.35">
      <c r="A13" t="s">
        <v>98</v>
      </c>
      <c r="B13" t="s">
        <v>465</v>
      </c>
      <c r="C13" t="s">
        <v>476</v>
      </c>
      <c r="F13" t="s">
        <v>231</v>
      </c>
      <c r="G13" t="s">
        <v>239</v>
      </c>
    </row>
    <row r="14" spans="1:26" x14ac:dyDescent="0.35">
      <c r="A14" t="s">
        <v>99</v>
      </c>
      <c r="B14" t="s">
        <v>473</v>
      </c>
      <c r="C14" t="s">
        <v>476</v>
      </c>
      <c r="D14" t="s">
        <v>203</v>
      </c>
      <c r="E14" t="s">
        <v>217</v>
      </c>
      <c r="F14" t="s">
        <v>232</v>
      </c>
      <c r="G14" t="s">
        <v>239</v>
      </c>
      <c r="H14" t="s">
        <v>250</v>
      </c>
      <c r="M14" t="s">
        <v>264</v>
      </c>
      <c r="N14" t="s">
        <v>304</v>
      </c>
      <c r="O14" t="s">
        <v>318</v>
      </c>
    </row>
    <row r="15" spans="1:26" x14ac:dyDescent="0.35">
      <c r="A15" t="s">
        <v>100</v>
      </c>
      <c r="B15" t="s">
        <v>474</v>
      </c>
      <c r="C15" t="s">
        <v>476</v>
      </c>
      <c r="D15" t="s">
        <v>204</v>
      </c>
      <c r="E15" t="s">
        <v>218</v>
      </c>
      <c r="F15" t="s">
        <v>233</v>
      </c>
      <c r="G15" t="s">
        <v>239</v>
      </c>
      <c r="M15" t="s">
        <v>265</v>
      </c>
      <c r="O15" t="s">
        <v>319</v>
      </c>
    </row>
    <row r="16" spans="1:26" ht="188.5" x14ac:dyDescent="0.35">
      <c r="A16" t="s">
        <v>477</v>
      </c>
      <c r="B16" t="s">
        <v>478</v>
      </c>
      <c r="C16" t="s">
        <v>479</v>
      </c>
      <c r="D16" s="1" t="s">
        <v>504</v>
      </c>
      <c r="E16" s="1" t="s">
        <v>507</v>
      </c>
      <c r="F16" s="1" t="s">
        <v>505</v>
      </c>
      <c r="G16" s="1" t="s">
        <v>508</v>
      </c>
      <c r="H16" s="1" t="s">
        <v>509</v>
      </c>
      <c r="I16" s="1" t="s">
        <v>511</v>
      </c>
      <c r="J16" t="s">
        <v>537</v>
      </c>
      <c r="K16" s="1" t="s">
        <v>512</v>
      </c>
      <c r="L16" s="1" t="s">
        <v>513</v>
      </c>
      <c r="M16" s="1" t="s">
        <v>510</v>
      </c>
      <c r="N16" s="1" t="s">
        <v>514</v>
      </c>
      <c r="O16" s="1" t="s">
        <v>515</v>
      </c>
      <c r="P16" s="1" t="s">
        <v>516</v>
      </c>
      <c r="Q16" s="1" t="s">
        <v>520</v>
      </c>
      <c r="R16" s="1"/>
      <c r="T16" s="1" t="s">
        <v>519</v>
      </c>
      <c r="U16" s="1" t="s">
        <v>518</v>
      </c>
      <c r="V16" s="1" t="s">
        <v>517</v>
      </c>
      <c r="W16" s="1" t="s">
        <v>524</v>
      </c>
      <c r="X16" s="1" t="s">
        <v>529</v>
      </c>
      <c r="Y16" s="1" t="s">
        <v>523</v>
      </c>
      <c r="Z16" s="1" t="s">
        <v>521</v>
      </c>
    </row>
    <row r="17" spans="1:26" ht="159.5" x14ac:dyDescent="0.35">
      <c r="A17" t="s">
        <v>486</v>
      </c>
      <c r="B17" t="s">
        <v>487</v>
      </c>
      <c r="C17" t="s">
        <v>479</v>
      </c>
      <c r="D17" s="1" t="s">
        <v>525</v>
      </c>
      <c r="E17" s="1" t="s">
        <v>528</v>
      </c>
      <c r="F17" s="1" t="s">
        <v>547</v>
      </c>
      <c r="G17" s="1" t="s">
        <v>544</v>
      </c>
      <c r="H17" s="1" t="s">
        <v>540</v>
      </c>
      <c r="I17" s="1" t="s">
        <v>541</v>
      </c>
      <c r="J17" s="1" t="s">
        <v>536</v>
      </c>
      <c r="K17" s="1" t="s">
        <v>535</v>
      </c>
      <c r="L17" s="1" t="s">
        <v>539</v>
      </c>
      <c r="M17" s="1" t="s">
        <v>538</v>
      </c>
      <c r="N17" s="1" t="s">
        <v>543</v>
      </c>
      <c r="O17" s="1" t="s">
        <v>526</v>
      </c>
      <c r="P17" s="1" t="s">
        <v>542</v>
      </c>
      <c r="Q17" s="1" t="s">
        <v>532</v>
      </c>
      <c r="R17" s="1"/>
      <c r="U17" s="1" t="s">
        <v>551</v>
      </c>
      <c r="V17" s="1" t="s">
        <v>527</v>
      </c>
      <c r="W17" s="1" t="s">
        <v>533</v>
      </c>
      <c r="X17" s="1" t="s">
        <v>534</v>
      </c>
      <c r="Y17" s="1" t="s">
        <v>530</v>
      </c>
      <c r="Z17" t="s">
        <v>531</v>
      </c>
    </row>
    <row r="18" spans="1:26" ht="275.5" x14ac:dyDescent="0.35">
      <c r="A18" t="s">
        <v>491</v>
      </c>
      <c r="B18" t="s">
        <v>490</v>
      </c>
      <c r="C18" t="s">
        <v>479</v>
      </c>
      <c r="D18" s="1" t="s">
        <v>546</v>
      </c>
      <c r="E18" s="1" t="s">
        <v>528</v>
      </c>
      <c r="F18" s="1" t="s">
        <v>558</v>
      </c>
      <c r="G18" s="1" t="s">
        <v>548</v>
      </c>
      <c r="H18" s="1" t="s">
        <v>553</v>
      </c>
      <c r="I18" s="1" t="s">
        <v>557</v>
      </c>
      <c r="J18" s="1" t="s">
        <v>536</v>
      </c>
      <c r="K18" t="s">
        <v>554</v>
      </c>
      <c r="L18" s="1" t="s">
        <v>556</v>
      </c>
      <c r="M18" s="1" t="s">
        <v>552</v>
      </c>
      <c r="N18" s="1" t="s">
        <v>559</v>
      </c>
      <c r="O18" s="1" t="s">
        <v>550</v>
      </c>
      <c r="P18" s="1" t="s">
        <v>549</v>
      </c>
      <c r="Q18" s="1" t="s">
        <v>545</v>
      </c>
      <c r="R18" s="1"/>
      <c r="U18" s="1" t="s">
        <v>560</v>
      </c>
      <c r="V18" s="1" t="s">
        <v>563</v>
      </c>
      <c r="W18" t="s">
        <v>561</v>
      </c>
      <c r="X18" s="1" t="s">
        <v>562</v>
      </c>
      <c r="Y18" s="1" t="s">
        <v>555</v>
      </c>
      <c r="Z18" s="1" t="s">
        <v>521</v>
      </c>
    </row>
    <row r="19" spans="1:26" ht="174.5" x14ac:dyDescent="0.4">
      <c r="A19" t="s">
        <v>488</v>
      </c>
      <c r="B19" t="s">
        <v>489</v>
      </c>
      <c r="C19" t="s">
        <v>479</v>
      </c>
      <c r="D19" s="1" t="s">
        <v>582</v>
      </c>
      <c r="E19" s="1" t="s">
        <v>583</v>
      </c>
      <c r="F19" s="1" t="s">
        <v>584</v>
      </c>
      <c r="G19" s="1" t="s">
        <v>61</v>
      </c>
      <c r="H19" s="1" t="s">
        <v>553</v>
      </c>
      <c r="I19" s="1" t="s">
        <v>585</v>
      </c>
      <c r="J19" s="1" t="s">
        <v>587</v>
      </c>
      <c r="K19" s="1" t="s">
        <v>595</v>
      </c>
      <c r="L19" s="1" t="s">
        <v>593</v>
      </c>
      <c r="M19" s="1" t="s">
        <v>594</v>
      </c>
      <c r="N19" s="1" t="s">
        <v>606</v>
      </c>
      <c r="O19" s="1" t="s">
        <v>596</v>
      </c>
      <c r="P19" s="1" t="s">
        <v>592</v>
      </c>
      <c r="Q19" s="1" t="s">
        <v>588</v>
      </c>
      <c r="R19" s="70" t="s">
        <v>586</v>
      </c>
      <c r="V19" s="1" t="s">
        <v>591</v>
      </c>
      <c r="W19" t="s">
        <v>561</v>
      </c>
      <c r="X19" s="1" t="s">
        <v>589</v>
      </c>
      <c r="Y19" s="1" t="s">
        <v>590</v>
      </c>
      <c r="Z19" t="s">
        <v>521</v>
      </c>
    </row>
    <row r="20" spans="1:26" ht="174" x14ac:dyDescent="0.35">
      <c r="A20" t="s">
        <v>494</v>
      </c>
      <c r="B20" t="s">
        <v>495</v>
      </c>
      <c r="C20" t="s">
        <v>479</v>
      </c>
      <c r="D20" s="1" t="s">
        <v>598</v>
      </c>
      <c r="E20" s="1" t="s">
        <v>599</v>
      </c>
      <c r="F20" s="1" t="s">
        <v>609</v>
      </c>
      <c r="G20" s="1" t="s">
        <v>600</v>
      </c>
      <c r="H20" s="1" t="s">
        <v>553</v>
      </c>
      <c r="I20" s="1" t="s">
        <v>597</v>
      </c>
      <c r="J20" s="1" t="s">
        <v>601</v>
      </c>
      <c r="K20" s="1" t="s">
        <v>608</v>
      </c>
      <c r="L20" s="1" t="s">
        <v>610</v>
      </c>
      <c r="M20" s="1" t="s">
        <v>603</v>
      </c>
      <c r="N20" s="1" t="s">
        <v>607</v>
      </c>
      <c r="O20" s="1" t="s">
        <v>602</v>
      </c>
      <c r="P20" s="1" t="s">
        <v>611</v>
      </c>
      <c r="Q20" s="1" t="s">
        <v>612</v>
      </c>
      <c r="R20" s="1" t="s">
        <v>613</v>
      </c>
      <c r="V20" s="1" t="s">
        <v>604</v>
      </c>
      <c r="Y20" s="1" t="s">
        <v>605</v>
      </c>
      <c r="Z20" s="1" t="s">
        <v>521</v>
      </c>
    </row>
    <row r="21" spans="1:26" ht="290" x14ac:dyDescent="0.35">
      <c r="A21" t="s">
        <v>498</v>
      </c>
      <c r="B21" t="s">
        <v>499</v>
      </c>
      <c r="C21" t="s">
        <v>479</v>
      </c>
      <c r="D21" s="1" t="s">
        <v>617</v>
      </c>
      <c r="E21" s="1" t="s">
        <v>616</v>
      </c>
      <c r="F21" s="1" t="s">
        <v>626</v>
      </c>
      <c r="G21" s="1" t="s">
        <v>628</v>
      </c>
      <c r="H21" s="1" t="s">
        <v>618</v>
      </c>
      <c r="I21" s="1" t="s">
        <v>615</v>
      </c>
      <c r="J21" s="1" t="s">
        <v>601</v>
      </c>
      <c r="K21" s="1" t="s">
        <v>627</v>
      </c>
      <c r="L21" s="1" t="s">
        <v>620</v>
      </c>
      <c r="M21" s="1" t="s">
        <v>619</v>
      </c>
      <c r="N21" s="1" t="s">
        <v>629</v>
      </c>
      <c r="O21" s="1" t="s">
        <v>614</v>
      </c>
      <c r="P21" s="1" t="s">
        <v>624</v>
      </c>
      <c r="Q21" s="1" t="s">
        <v>621</v>
      </c>
      <c r="R21" s="1" t="s">
        <v>623</v>
      </c>
      <c r="X21" s="1" t="s">
        <v>622</v>
      </c>
      <c r="Y21" s="1" t="s">
        <v>625</v>
      </c>
      <c r="Z21" s="1" t="s">
        <v>521</v>
      </c>
    </row>
    <row r="22" spans="1:26" ht="145" x14ac:dyDescent="0.35">
      <c r="A22" t="s">
        <v>480</v>
      </c>
      <c r="B22" t="s">
        <v>481</v>
      </c>
      <c r="C22" t="s">
        <v>479</v>
      </c>
      <c r="D22" s="1" t="s">
        <v>631</v>
      </c>
      <c r="E22" s="1" t="s">
        <v>632</v>
      </c>
      <c r="F22" s="1" t="s">
        <v>630</v>
      </c>
      <c r="G22" s="1" t="s">
        <v>648</v>
      </c>
      <c r="H22" s="1" t="s">
        <v>635</v>
      </c>
      <c r="I22" s="1" t="s">
        <v>636</v>
      </c>
      <c r="J22" s="1" t="s">
        <v>601</v>
      </c>
      <c r="K22" s="1" t="s">
        <v>640</v>
      </c>
      <c r="L22" s="1" t="s">
        <v>634</v>
      </c>
      <c r="M22" s="1" t="s">
        <v>637</v>
      </c>
      <c r="N22" s="1" t="s">
        <v>665</v>
      </c>
      <c r="O22" s="1" t="s">
        <v>638</v>
      </c>
      <c r="P22" s="1" t="s">
        <v>633</v>
      </c>
      <c r="Q22" s="1" t="s">
        <v>642</v>
      </c>
      <c r="R22" s="1" t="s">
        <v>639</v>
      </c>
      <c r="U22" t="s">
        <v>641</v>
      </c>
    </row>
    <row r="23" spans="1:26" ht="145" x14ac:dyDescent="0.35">
      <c r="A23" t="s">
        <v>482</v>
      </c>
      <c r="B23" t="s">
        <v>483</v>
      </c>
      <c r="C23" t="s">
        <v>479</v>
      </c>
      <c r="D23" s="1" t="s">
        <v>646</v>
      </c>
      <c r="E23" s="1" t="s">
        <v>647</v>
      </c>
      <c r="F23" s="1" t="s">
        <v>650</v>
      </c>
      <c r="G23" s="1" t="s">
        <v>649</v>
      </c>
      <c r="H23" s="1" t="s">
        <v>644</v>
      </c>
      <c r="I23" s="1" t="s">
        <v>643</v>
      </c>
      <c r="J23" s="1" t="s">
        <v>601</v>
      </c>
      <c r="K23" s="1" t="s">
        <v>656</v>
      </c>
      <c r="L23" s="1" t="s">
        <v>652</v>
      </c>
      <c r="M23" s="1" t="s">
        <v>651</v>
      </c>
      <c r="N23" s="1" t="s">
        <v>665</v>
      </c>
      <c r="O23" s="1" t="s">
        <v>645</v>
      </c>
      <c r="P23" s="1" t="s">
        <v>655</v>
      </c>
      <c r="Q23" s="1" t="s">
        <v>653</v>
      </c>
      <c r="R23" s="1" t="s">
        <v>654</v>
      </c>
    </row>
    <row r="24" spans="1:26" ht="232" x14ac:dyDescent="0.35">
      <c r="A24" t="s">
        <v>484</v>
      </c>
      <c r="B24" t="s">
        <v>485</v>
      </c>
      <c r="C24" t="s">
        <v>479</v>
      </c>
      <c r="D24" s="1" t="s">
        <v>661</v>
      </c>
      <c r="E24" s="1" t="s">
        <v>662</v>
      </c>
      <c r="F24" s="1" t="s">
        <v>663</v>
      </c>
      <c r="G24" s="1" t="s">
        <v>61</v>
      </c>
      <c r="H24" s="1" t="s">
        <v>660</v>
      </c>
      <c r="I24" s="1" t="s">
        <v>658</v>
      </c>
      <c r="J24" s="1" t="s">
        <v>601</v>
      </c>
      <c r="K24" s="1" t="s">
        <v>669</v>
      </c>
      <c r="L24" s="1" t="s">
        <v>668</v>
      </c>
      <c r="M24" s="1" t="s">
        <v>666</v>
      </c>
      <c r="N24" s="1" t="s">
        <v>665</v>
      </c>
      <c r="O24" s="1" t="s">
        <v>664</v>
      </c>
      <c r="P24" s="1" t="s">
        <v>659</v>
      </c>
      <c r="Q24" s="1" t="s">
        <v>657</v>
      </c>
      <c r="R24" s="1" t="s">
        <v>667</v>
      </c>
    </row>
    <row r="25" spans="1:26" ht="203" x14ac:dyDescent="0.35">
      <c r="A25" t="s">
        <v>502</v>
      </c>
      <c r="B25" t="s">
        <v>503</v>
      </c>
      <c r="C25" t="s">
        <v>479</v>
      </c>
      <c r="D25" s="1" t="s">
        <v>673</v>
      </c>
      <c r="E25" s="1" t="s">
        <v>675</v>
      </c>
      <c r="F25" s="1" t="s">
        <v>674</v>
      </c>
      <c r="G25" s="1" t="s">
        <v>61</v>
      </c>
      <c r="H25" s="1" t="s">
        <v>671</v>
      </c>
      <c r="I25" s="1" t="s">
        <v>672</v>
      </c>
      <c r="J25" s="1" t="s">
        <v>601</v>
      </c>
      <c r="K25" s="1" t="s">
        <v>669</v>
      </c>
      <c r="L25" s="1" t="s">
        <v>677</v>
      </c>
      <c r="M25" s="1" t="s">
        <v>676</v>
      </c>
      <c r="N25" s="1" t="s">
        <v>665</v>
      </c>
      <c r="O25" s="1" t="s">
        <v>679</v>
      </c>
      <c r="P25" s="1" t="s">
        <v>680</v>
      </c>
      <c r="Q25" s="1" t="s">
        <v>670</v>
      </c>
      <c r="R25" s="1" t="s">
        <v>678</v>
      </c>
    </row>
    <row r="26" spans="1:26" ht="232" x14ac:dyDescent="0.35">
      <c r="A26" t="s">
        <v>492</v>
      </c>
      <c r="B26" t="s">
        <v>493</v>
      </c>
      <c r="C26" t="s">
        <v>479</v>
      </c>
      <c r="D26" s="1" t="s">
        <v>685</v>
      </c>
      <c r="E26" s="1" t="s">
        <v>686</v>
      </c>
      <c r="F26" s="1" t="s">
        <v>684</v>
      </c>
      <c r="G26" s="1" t="s">
        <v>61</v>
      </c>
      <c r="H26" s="1" t="s">
        <v>690</v>
      </c>
      <c r="I26" s="1" t="s">
        <v>682</v>
      </c>
      <c r="J26" s="1" t="s">
        <v>601</v>
      </c>
      <c r="K26" t="s">
        <v>669</v>
      </c>
      <c r="L26" s="1" t="s">
        <v>688</v>
      </c>
      <c r="M26" s="1" t="s">
        <v>687</v>
      </c>
      <c r="N26" s="1" t="s">
        <v>665</v>
      </c>
      <c r="O26" s="1" t="s">
        <v>683</v>
      </c>
      <c r="P26" s="1" t="s">
        <v>691</v>
      </c>
      <c r="Q26" s="1" t="s">
        <v>681</v>
      </c>
      <c r="R26" s="1" t="s">
        <v>689</v>
      </c>
    </row>
    <row r="27" spans="1:26" ht="217.5" x14ac:dyDescent="0.35">
      <c r="A27" t="s">
        <v>496</v>
      </c>
      <c r="B27" t="s">
        <v>497</v>
      </c>
      <c r="C27" t="s">
        <v>479</v>
      </c>
      <c r="D27" s="1" t="s">
        <v>692</v>
      </c>
      <c r="E27" s="1" t="s">
        <v>693</v>
      </c>
      <c r="F27" s="1" t="s">
        <v>703</v>
      </c>
      <c r="G27" s="1" t="s">
        <v>628</v>
      </c>
      <c r="H27" s="1" t="s">
        <v>696</v>
      </c>
      <c r="I27" s="1" t="s">
        <v>697</v>
      </c>
      <c r="J27" s="1" t="s">
        <v>628</v>
      </c>
      <c r="K27" s="1" t="s">
        <v>704</v>
      </c>
      <c r="L27" s="1" t="s">
        <v>699</v>
      </c>
      <c r="M27" s="1" t="s">
        <v>694</v>
      </c>
      <c r="N27" s="1" t="s">
        <v>702</v>
      </c>
      <c r="O27" s="1" t="s">
        <v>701</v>
      </c>
      <c r="P27" s="1" t="s">
        <v>695</v>
      </c>
      <c r="Q27" s="1" t="s">
        <v>700</v>
      </c>
      <c r="R27" s="1" t="s">
        <v>698</v>
      </c>
    </row>
    <row r="28" spans="1:26" ht="290" x14ac:dyDescent="0.35">
      <c r="A28" t="s">
        <v>500</v>
      </c>
      <c r="B28" t="s">
        <v>501</v>
      </c>
      <c r="C28" t="s">
        <v>479</v>
      </c>
      <c r="D28" s="1" t="s">
        <v>705</v>
      </c>
      <c r="E28" s="71" t="s">
        <v>706</v>
      </c>
      <c r="F28" s="1" t="s">
        <v>707</v>
      </c>
      <c r="G28" s="1" t="s">
        <v>708</v>
      </c>
      <c r="H28" s="1" t="s">
        <v>709</v>
      </c>
      <c r="I28" s="1" t="s">
        <v>710</v>
      </c>
      <c r="J28" s="1" t="s">
        <v>628</v>
      </c>
      <c r="K28" s="1" t="s">
        <v>714</v>
      </c>
      <c r="L28" s="1" t="s">
        <v>715</v>
      </c>
      <c r="M28" s="1" t="s">
        <v>711</v>
      </c>
      <c r="N28" s="1" t="s">
        <v>713</v>
      </c>
      <c r="O28" s="1" t="s">
        <v>712</v>
      </c>
      <c r="P28" s="1" t="s">
        <v>717</v>
      </c>
      <c r="Q28" s="1" t="s">
        <v>718</v>
      </c>
      <c r="R28" s="1" t="s">
        <v>716</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764D5-B84F-4FEA-981C-73177A9CEA03}">
  <dimension ref="A1:T30"/>
  <sheetViews>
    <sheetView tabSelected="1" workbookViewId="0">
      <pane xSplit="4" ySplit="2" topLeftCell="P3" activePane="bottomRight" state="frozen"/>
      <selection pane="topRight" activeCell="D1" sqref="D1"/>
      <selection pane="bottomLeft" activeCell="A3" sqref="A3"/>
      <selection pane="bottomRight" activeCell="S3" sqref="S3"/>
    </sheetView>
  </sheetViews>
  <sheetFormatPr defaultColWidth="9.1796875" defaultRowHeight="14.5" x14ac:dyDescent="0.35"/>
  <cols>
    <col min="1" max="1" width="9.1796875" style="1"/>
    <col min="2" max="2" width="20.54296875" style="1" customWidth="1"/>
    <col min="3" max="3" width="24.81640625" style="1" customWidth="1"/>
    <col min="4" max="4" width="9.1796875" style="1"/>
    <col min="5" max="5" width="28.26953125" style="1" customWidth="1"/>
    <col min="6" max="6" width="44.26953125" style="1" customWidth="1"/>
    <col min="7" max="7" width="32.81640625" style="1" customWidth="1"/>
    <col min="8" max="20" width="30.7265625" style="1" customWidth="1"/>
    <col min="21" max="16384" width="9.1796875" style="1"/>
  </cols>
  <sheetData>
    <row r="1" spans="1:20" ht="24" x14ac:dyDescent="0.35">
      <c r="F1" s="72" t="s">
        <v>564</v>
      </c>
      <c r="G1" s="72" t="s">
        <v>565</v>
      </c>
      <c r="H1" s="72" t="s">
        <v>566</v>
      </c>
      <c r="I1" s="72" t="s">
        <v>567</v>
      </c>
      <c r="J1" s="72" t="s">
        <v>568</v>
      </c>
      <c r="K1" s="72" t="s">
        <v>576</v>
      </c>
      <c r="L1" s="72" t="s">
        <v>569</v>
      </c>
      <c r="M1" s="72" t="s">
        <v>570</v>
      </c>
      <c r="N1" s="72" t="s">
        <v>571</v>
      </c>
      <c r="O1" s="72" t="s">
        <v>572</v>
      </c>
      <c r="P1" s="72" t="s">
        <v>573</v>
      </c>
      <c r="Q1" s="72" t="s">
        <v>574</v>
      </c>
      <c r="R1" s="72" t="s">
        <v>575</v>
      </c>
      <c r="S1" s="72" t="s">
        <v>578</v>
      </c>
      <c r="T1" s="72" t="s">
        <v>580</v>
      </c>
    </row>
    <row r="2" spans="1:20" ht="29" x14ac:dyDescent="0.35">
      <c r="A2" s="73" t="s">
        <v>719</v>
      </c>
      <c r="B2" s="73" t="s">
        <v>407</v>
      </c>
      <c r="C2" s="73" t="s">
        <v>506</v>
      </c>
      <c r="D2" s="73" t="s">
        <v>475</v>
      </c>
      <c r="E2" s="73" t="s">
        <v>752</v>
      </c>
      <c r="F2" s="73" t="s">
        <v>189</v>
      </c>
      <c r="G2" s="73" t="s">
        <v>205</v>
      </c>
      <c r="H2" s="73" t="s">
        <v>219</v>
      </c>
      <c r="I2" s="73" t="s">
        <v>234</v>
      </c>
      <c r="J2" s="73" t="s">
        <v>240</v>
      </c>
      <c r="K2" s="73" t="s">
        <v>266</v>
      </c>
      <c r="L2" s="73" t="s">
        <v>275</v>
      </c>
      <c r="M2" s="73" t="s">
        <v>282</v>
      </c>
      <c r="N2" s="73" t="s">
        <v>289</v>
      </c>
      <c r="O2" s="73" t="s">
        <v>251</v>
      </c>
      <c r="P2" s="73" t="s">
        <v>296</v>
      </c>
      <c r="Q2" s="73" t="s">
        <v>23</v>
      </c>
      <c r="R2" s="73" t="s">
        <v>320</v>
      </c>
      <c r="S2" s="73" t="s">
        <v>579</v>
      </c>
      <c r="T2" s="73" t="s">
        <v>581</v>
      </c>
    </row>
    <row r="3" spans="1:20" ht="130.5" x14ac:dyDescent="0.35">
      <c r="A3" s="1" t="s">
        <v>721</v>
      </c>
      <c r="B3" s="1" t="s">
        <v>477</v>
      </c>
      <c r="C3" s="1" t="s">
        <v>478</v>
      </c>
      <c r="D3" s="1" t="s">
        <v>479</v>
      </c>
      <c r="E3" s="1" t="s">
        <v>753</v>
      </c>
      <c r="F3" s="1" t="s">
        <v>504</v>
      </c>
      <c r="G3" s="1" t="s">
        <v>507</v>
      </c>
      <c r="H3" s="1" t="s">
        <v>505</v>
      </c>
      <c r="I3" s="1" t="s">
        <v>508</v>
      </c>
      <c r="J3" s="1" t="s">
        <v>509</v>
      </c>
      <c r="K3" s="1" t="s">
        <v>511</v>
      </c>
      <c r="L3" s="1" t="s">
        <v>537</v>
      </c>
      <c r="M3" s="1" t="s">
        <v>512</v>
      </c>
      <c r="N3" s="1" t="s">
        <v>513</v>
      </c>
      <c r="O3" s="1" t="s">
        <v>510</v>
      </c>
      <c r="P3" s="1" t="s">
        <v>514</v>
      </c>
      <c r="Q3" s="1" t="s">
        <v>515</v>
      </c>
      <c r="R3" s="1" t="s">
        <v>516</v>
      </c>
      <c r="S3" s="1" t="s">
        <v>723</v>
      </c>
      <c r="T3" s="1" t="s">
        <v>747</v>
      </c>
    </row>
    <row r="4" spans="1:20" ht="290" x14ac:dyDescent="0.35">
      <c r="A4" s="1" t="s">
        <v>720</v>
      </c>
      <c r="B4" s="1" t="s">
        <v>91</v>
      </c>
      <c r="C4" s="1" t="s">
        <v>462</v>
      </c>
      <c r="D4" s="1" t="s">
        <v>476</v>
      </c>
      <c r="F4" s="1" t="s">
        <v>196</v>
      </c>
      <c r="G4" s="1" t="s">
        <v>211</v>
      </c>
      <c r="H4" s="1" t="s">
        <v>225</v>
      </c>
      <c r="I4" s="1" t="s">
        <v>238</v>
      </c>
      <c r="J4" s="1" t="s">
        <v>245</v>
      </c>
      <c r="K4" s="1" t="s">
        <v>270</v>
      </c>
      <c r="L4" s="1" t="s">
        <v>280</v>
      </c>
      <c r="M4" s="1" t="s">
        <v>288</v>
      </c>
      <c r="N4" s="1" t="s">
        <v>294</v>
      </c>
      <c r="O4" s="1" t="s">
        <v>257</v>
      </c>
      <c r="P4" s="1" t="s">
        <v>301</v>
      </c>
      <c r="Q4" s="1" t="s">
        <v>311</v>
      </c>
      <c r="S4" s="1" t="s">
        <v>731</v>
      </c>
      <c r="T4" s="1" t="s">
        <v>732</v>
      </c>
    </row>
    <row r="5" spans="1:20" ht="203" x14ac:dyDescent="0.35">
      <c r="A5" s="1" t="s">
        <v>721</v>
      </c>
      <c r="B5" s="1" t="s">
        <v>498</v>
      </c>
      <c r="C5" s="1" t="s">
        <v>499</v>
      </c>
      <c r="D5" s="1" t="s">
        <v>479</v>
      </c>
      <c r="E5" s="1" t="s">
        <v>758</v>
      </c>
      <c r="F5" s="1" t="s">
        <v>617</v>
      </c>
      <c r="G5" s="1" t="s">
        <v>616</v>
      </c>
      <c r="H5" s="1" t="s">
        <v>626</v>
      </c>
      <c r="I5" s="1" t="s">
        <v>628</v>
      </c>
      <c r="J5" s="1" t="s">
        <v>618</v>
      </c>
      <c r="K5" s="1" t="s">
        <v>615</v>
      </c>
      <c r="L5" s="1" t="s">
        <v>601</v>
      </c>
      <c r="M5" s="1" t="s">
        <v>627</v>
      </c>
      <c r="N5" s="1" t="s">
        <v>620</v>
      </c>
      <c r="O5" s="1" t="s">
        <v>619</v>
      </c>
      <c r="P5" s="1" t="s">
        <v>629</v>
      </c>
      <c r="Q5" s="1" t="s">
        <v>614</v>
      </c>
      <c r="R5" s="1" t="s">
        <v>624</v>
      </c>
      <c r="S5" s="1" t="s">
        <v>621</v>
      </c>
      <c r="T5" s="1" t="s">
        <v>623</v>
      </c>
    </row>
    <row r="6" spans="1:20" ht="362.5" x14ac:dyDescent="0.35">
      <c r="A6" s="1" t="s">
        <v>720</v>
      </c>
      <c r="B6" s="1" t="s">
        <v>88</v>
      </c>
      <c r="C6" s="1" t="s">
        <v>463</v>
      </c>
      <c r="D6" s="1" t="s">
        <v>476</v>
      </c>
      <c r="F6" s="1" t="s">
        <v>193</v>
      </c>
      <c r="G6" s="1" t="s">
        <v>208</v>
      </c>
      <c r="H6" s="1" t="s">
        <v>222</v>
      </c>
      <c r="I6" s="1" t="s">
        <v>236</v>
      </c>
      <c r="J6" s="1" t="s">
        <v>242</v>
      </c>
      <c r="K6" s="1" t="s">
        <v>268</v>
      </c>
      <c r="L6" s="1" t="s">
        <v>277</v>
      </c>
      <c r="M6" s="1" t="s">
        <v>171</v>
      </c>
      <c r="N6" s="1" t="s">
        <v>171</v>
      </c>
      <c r="O6" s="1" t="s">
        <v>254</v>
      </c>
      <c r="P6" s="1" t="s">
        <v>171</v>
      </c>
      <c r="Q6" s="1" t="s">
        <v>308</v>
      </c>
      <c r="R6" s="1" t="s">
        <v>171</v>
      </c>
      <c r="S6" s="1" t="s">
        <v>722</v>
      </c>
      <c r="T6" s="1" t="s">
        <v>726</v>
      </c>
    </row>
    <row r="7" spans="1:20" ht="362.5" x14ac:dyDescent="0.35">
      <c r="A7" s="1" t="s">
        <v>720</v>
      </c>
      <c r="B7" s="1" t="s">
        <v>97</v>
      </c>
      <c r="C7" s="1" t="s">
        <v>464</v>
      </c>
      <c r="D7" s="1" t="s">
        <v>476</v>
      </c>
      <c r="F7" s="1" t="s">
        <v>202</v>
      </c>
      <c r="H7" s="1" t="s">
        <v>230</v>
      </c>
      <c r="I7" s="1" t="s">
        <v>239</v>
      </c>
      <c r="O7" s="1" t="s">
        <v>263</v>
      </c>
      <c r="Q7" s="1" t="s">
        <v>317</v>
      </c>
      <c r="S7" s="1" t="s">
        <v>738</v>
      </c>
      <c r="T7" s="1" t="s">
        <v>739</v>
      </c>
    </row>
    <row r="8" spans="1:20" ht="409.5" x14ac:dyDescent="0.35">
      <c r="A8" s="1" t="s">
        <v>720</v>
      </c>
      <c r="B8" s="1" t="s">
        <v>100</v>
      </c>
      <c r="C8" s="1" t="s">
        <v>474</v>
      </c>
      <c r="D8" s="1" t="s">
        <v>476</v>
      </c>
      <c r="F8" s="1" t="s">
        <v>204</v>
      </c>
      <c r="G8" s="1" t="s">
        <v>218</v>
      </c>
      <c r="H8" s="1" t="s">
        <v>233</v>
      </c>
      <c r="I8" s="1" t="s">
        <v>239</v>
      </c>
      <c r="O8" s="1" t="s">
        <v>265</v>
      </c>
      <c r="Q8" s="1" t="s">
        <v>319</v>
      </c>
      <c r="S8" s="1" t="s">
        <v>743</v>
      </c>
      <c r="T8" s="1" t="s">
        <v>744</v>
      </c>
    </row>
    <row r="9" spans="1:20" ht="58" x14ac:dyDescent="0.35">
      <c r="A9" s="1" t="s">
        <v>721</v>
      </c>
      <c r="B9" s="1" t="s">
        <v>500</v>
      </c>
      <c r="C9" s="1" t="s">
        <v>501</v>
      </c>
      <c r="D9" s="1" t="s">
        <v>479</v>
      </c>
      <c r="E9" s="1" t="s">
        <v>765</v>
      </c>
      <c r="F9" s="1" t="s">
        <v>705</v>
      </c>
      <c r="G9" s="71" t="s">
        <v>706</v>
      </c>
      <c r="H9" s="1" t="s">
        <v>707</v>
      </c>
      <c r="I9" s="1" t="s">
        <v>708</v>
      </c>
      <c r="J9" s="1" t="s">
        <v>709</v>
      </c>
      <c r="K9" s="1" t="s">
        <v>710</v>
      </c>
      <c r="L9" s="1" t="s">
        <v>628</v>
      </c>
      <c r="M9" s="1" t="s">
        <v>714</v>
      </c>
      <c r="N9" s="1" t="s">
        <v>715</v>
      </c>
      <c r="O9" s="1" t="s">
        <v>711</v>
      </c>
      <c r="P9" s="1" t="s">
        <v>713</v>
      </c>
      <c r="Q9" s="1" t="s">
        <v>712</v>
      </c>
      <c r="R9" s="1" t="s">
        <v>717</v>
      </c>
      <c r="S9" s="1" t="s">
        <v>718</v>
      </c>
      <c r="T9" s="1" t="s">
        <v>716</v>
      </c>
    </row>
    <row r="10" spans="1:20" ht="203" x14ac:dyDescent="0.35">
      <c r="A10" s="1" t="s">
        <v>720</v>
      </c>
      <c r="B10" s="1" t="s">
        <v>96</v>
      </c>
      <c r="C10" s="1" t="s">
        <v>470</v>
      </c>
      <c r="D10" s="1" t="s">
        <v>476</v>
      </c>
      <c r="F10" s="1" t="s">
        <v>201</v>
      </c>
      <c r="G10" s="1" t="s">
        <v>216</v>
      </c>
      <c r="H10" s="1" t="s">
        <v>229</v>
      </c>
      <c r="I10" s="1" t="s">
        <v>239</v>
      </c>
      <c r="J10" s="1" t="s">
        <v>249</v>
      </c>
      <c r="K10" s="1" t="s">
        <v>274</v>
      </c>
      <c r="O10" s="1" t="s">
        <v>262</v>
      </c>
      <c r="P10" s="1" t="s">
        <v>303</v>
      </c>
      <c r="Q10" s="1" t="s">
        <v>316</v>
      </c>
      <c r="R10" s="1" t="s">
        <v>327</v>
      </c>
      <c r="S10" s="1" t="s">
        <v>736</v>
      </c>
      <c r="T10" s="1" t="s">
        <v>737</v>
      </c>
    </row>
    <row r="11" spans="1:20" ht="409.5" x14ac:dyDescent="0.35">
      <c r="A11" s="1" t="s">
        <v>720</v>
      </c>
      <c r="B11" s="1" t="s">
        <v>92</v>
      </c>
      <c r="C11" s="1" t="s">
        <v>466</v>
      </c>
      <c r="D11" s="1" t="s">
        <v>476</v>
      </c>
      <c r="F11" s="1" t="s">
        <v>197</v>
      </c>
      <c r="G11" s="1" t="s">
        <v>212</v>
      </c>
      <c r="H11" s="1" t="s">
        <v>226</v>
      </c>
      <c r="I11" s="1" t="s">
        <v>239</v>
      </c>
      <c r="J11" s="1" t="s">
        <v>246</v>
      </c>
      <c r="K11" s="1" t="s">
        <v>271</v>
      </c>
      <c r="L11" s="1" t="s">
        <v>281</v>
      </c>
      <c r="M11" s="1" t="s">
        <v>288</v>
      </c>
      <c r="N11" s="1" t="s">
        <v>295</v>
      </c>
      <c r="O11" s="1" t="s">
        <v>258</v>
      </c>
      <c r="P11" s="1" t="s">
        <v>288</v>
      </c>
      <c r="Q11" s="1" t="s">
        <v>312</v>
      </c>
      <c r="R11" s="1" t="s">
        <v>326</v>
      </c>
      <c r="S11" s="1" t="s">
        <v>745</v>
      </c>
      <c r="T11" s="1" t="s">
        <v>746</v>
      </c>
    </row>
    <row r="12" spans="1:20" ht="232" x14ac:dyDescent="0.35">
      <c r="A12" s="1" t="s">
        <v>721</v>
      </c>
      <c r="B12" s="1" t="s">
        <v>496</v>
      </c>
      <c r="C12" s="1" t="s">
        <v>497</v>
      </c>
      <c r="D12" s="1" t="s">
        <v>479</v>
      </c>
      <c r="E12" s="1" t="s">
        <v>764</v>
      </c>
      <c r="F12" s="1" t="s">
        <v>692</v>
      </c>
      <c r="G12" s="1" t="s">
        <v>693</v>
      </c>
      <c r="H12" s="1" t="s">
        <v>703</v>
      </c>
      <c r="I12" s="1" t="s">
        <v>628</v>
      </c>
      <c r="J12" s="1" t="s">
        <v>696</v>
      </c>
      <c r="K12" s="1" t="s">
        <v>697</v>
      </c>
      <c r="L12" s="1" t="s">
        <v>628</v>
      </c>
      <c r="M12" s="1" t="s">
        <v>704</v>
      </c>
      <c r="N12" s="1" t="s">
        <v>699</v>
      </c>
      <c r="O12" s="1" t="s">
        <v>694</v>
      </c>
      <c r="P12" s="1" t="s">
        <v>702</v>
      </c>
      <c r="Q12" s="1" t="s">
        <v>701</v>
      </c>
      <c r="R12" s="1" t="s">
        <v>695</v>
      </c>
      <c r="S12" s="1" t="s">
        <v>700</v>
      </c>
      <c r="T12" s="1" t="s">
        <v>698</v>
      </c>
    </row>
    <row r="13" spans="1:20" ht="377" x14ac:dyDescent="0.35">
      <c r="A13" s="1" t="s">
        <v>721</v>
      </c>
      <c r="B13" s="1" t="s">
        <v>502</v>
      </c>
      <c r="C13" s="1" t="s">
        <v>503</v>
      </c>
      <c r="D13" s="1" t="s">
        <v>479</v>
      </c>
      <c r="E13" s="1" t="s">
        <v>762</v>
      </c>
      <c r="F13" s="1" t="s">
        <v>673</v>
      </c>
      <c r="G13" s="1" t="s">
        <v>675</v>
      </c>
      <c r="H13" s="1" t="s">
        <v>674</v>
      </c>
      <c r="I13" s="1" t="s">
        <v>61</v>
      </c>
      <c r="J13" s="1" t="s">
        <v>671</v>
      </c>
      <c r="K13" s="1" t="s">
        <v>672</v>
      </c>
      <c r="L13" s="1" t="s">
        <v>601</v>
      </c>
      <c r="M13" s="1" t="s">
        <v>669</v>
      </c>
      <c r="N13" s="1" t="s">
        <v>677</v>
      </c>
      <c r="O13" s="1" t="s">
        <v>676</v>
      </c>
      <c r="P13" s="1" t="s">
        <v>665</v>
      </c>
      <c r="Q13" s="1" t="s">
        <v>679</v>
      </c>
      <c r="R13" s="1" t="s">
        <v>680</v>
      </c>
      <c r="S13" s="1" t="s">
        <v>670</v>
      </c>
      <c r="T13" s="1" t="s">
        <v>678</v>
      </c>
    </row>
    <row r="14" spans="1:20" ht="130.5" x14ac:dyDescent="0.35">
      <c r="A14" s="1" t="s">
        <v>721</v>
      </c>
      <c r="B14" s="1" t="s">
        <v>494</v>
      </c>
      <c r="C14" s="1" t="s">
        <v>495</v>
      </c>
      <c r="D14" s="1" t="s">
        <v>479</v>
      </c>
      <c r="E14" s="1" t="s">
        <v>757</v>
      </c>
      <c r="F14" s="1" t="s">
        <v>598</v>
      </c>
      <c r="G14" s="1" t="s">
        <v>599</v>
      </c>
      <c r="H14" s="1" t="s">
        <v>609</v>
      </c>
      <c r="I14" s="1" t="s">
        <v>600</v>
      </c>
      <c r="J14" s="1" t="s">
        <v>553</v>
      </c>
      <c r="K14" s="1" t="s">
        <v>597</v>
      </c>
      <c r="L14" s="1" t="s">
        <v>601</v>
      </c>
      <c r="M14" s="1" t="s">
        <v>608</v>
      </c>
      <c r="N14" s="1" t="s">
        <v>610</v>
      </c>
      <c r="O14" s="1" t="s">
        <v>603</v>
      </c>
      <c r="P14" s="1" t="s">
        <v>607</v>
      </c>
      <c r="Q14" s="1" t="s">
        <v>602</v>
      </c>
      <c r="R14" s="1" t="s">
        <v>611</v>
      </c>
      <c r="S14" s="1" t="s">
        <v>612</v>
      </c>
      <c r="T14" s="1" t="s">
        <v>613</v>
      </c>
    </row>
    <row r="15" spans="1:20" ht="362.5" x14ac:dyDescent="0.35">
      <c r="A15" s="1" t="s">
        <v>721</v>
      </c>
      <c r="B15" s="1" t="s">
        <v>484</v>
      </c>
      <c r="C15" s="1" t="s">
        <v>485</v>
      </c>
      <c r="D15" s="1" t="s">
        <v>479</v>
      </c>
      <c r="E15" s="1" t="s">
        <v>761</v>
      </c>
      <c r="F15" s="1" t="s">
        <v>661</v>
      </c>
      <c r="G15" s="1" t="s">
        <v>662</v>
      </c>
      <c r="H15" s="1" t="s">
        <v>663</v>
      </c>
      <c r="I15" s="1" t="s">
        <v>61</v>
      </c>
      <c r="J15" s="1" t="s">
        <v>660</v>
      </c>
      <c r="K15" s="1" t="s">
        <v>658</v>
      </c>
      <c r="L15" s="1" t="s">
        <v>601</v>
      </c>
      <c r="M15" s="1" t="s">
        <v>669</v>
      </c>
      <c r="N15" s="1" t="s">
        <v>668</v>
      </c>
      <c r="O15" s="1" t="s">
        <v>666</v>
      </c>
      <c r="P15" s="1" t="s">
        <v>665</v>
      </c>
      <c r="Q15" s="1" t="s">
        <v>664</v>
      </c>
      <c r="R15" s="1" t="s">
        <v>659</v>
      </c>
      <c r="S15" s="1" t="s">
        <v>657</v>
      </c>
      <c r="T15" s="1" t="s">
        <v>667</v>
      </c>
    </row>
    <row r="16" spans="1:20" ht="159.5" x14ac:dyDescent="0.35">
      <c r="A16" s="1" t="s">
        <v>721</v>
      </c>
      <c r="B16" s="1" t="s">
        <v>480</v>
      </c>
      <c r="C16" s="1" t="s">
        <v>481</v>
      </c>
      <c r="D16" s="1" t="s">
        <v>479</v>
      </c>
      <c r="E16" s="1" t="s">
        <v>759</v>
      </c>
      <c r="F16" s="1" t="s">
        <v>631</v>
      </c>
      <c r="G16" s="1" t="s">
        <v>632</v>
      </c>
      <c r="H16" s="1" t="s">
        <v>630</v>
      </c>
      <c r="I16" s="1" t="s">
        <v>648</v>
      </c>
      <c r="J16" s="1" t="s">
        <v>635</v>
      </c>
      <c r="K16" s="1" t="s">
        <v>636</v>
      </c>
      <c r="L16" s="1" t="s">
        <v>601</v>
      </c>
      <c r="M16" s="1" t="s">
        <v>640</v>
      </c>
      <c r="N16" s="1" t="s">
        <v>634</v>
      </c>
      <c r="O16" s="1" t="s">
        <v>637</v>
      </c>
      <c r="P16" s="1" t="s">
        <v>665</v>
      </c>
      <c r="Q16" s="1" t="s">
        <v>638</v>
      </c>
      <c r="R16" s="1" t="s">
        <v>633</v>
      </c>
      <c r="S16" s="1" t="s">
        <v>642</v>
      </c>
      <c r="T16" s="1" t="s">
        <v>639</v>
      </c>
    </row>
    <row r="17" spans="1:20" ht="159.5" x14ac:dyDescent="0.35">
      <c r="A17" s="1" t="s">
        <v>720</v>
      </c>
      <c r="B17" s="1" t="s">
        <v>98</v>
      </c>
      <c r="C17" s="1" t="s">
        <v>465</v>
      </c>
      <c r="D17" s="1" t="s">
        <v>476</v>
      </c>
      <c r="H17" s="1" t="s">
        <v>231</v>
      </c>
      <c r="I17" s="1" t="s">
        <v>239</v>
      </c>
      <c r="S17" s="1" t="s">
        <v>722</v>
      </c>
      <c r="T17" s="1" t="s">
        <v>740</v>
      </c>
    </row>
    <row r="18" spans="1:20" ht="275.5" x14ac:dyDescent="0.35">
      <c r="A18" s="1" t="s">
        <v>720</v>
      </c>
      <c r="B18" s="1" t="s">
        <v>99</v>
      </c>
      <c r="C18" s="1" t="s">
        <v>473</v>
      </c>
      <c r="D18" s="1" t="s">
        <v>476</v>
      </c>
      <c r="F18" s="1" t="s">
        <v>203</v>
      </c>
      <c r="G18" s="1" t="s">
        <v>217</v>
      </c>
      <c r="H18" s="1" t="s">
        <v>232</v>
      </c>
      <c r="I18" s="1" t="s">
        <v>239</v>
      </c>
      <c r="J18" s="1" t="s">
        <v>250</v>
      </c>
      <c r="O18" s="1" t="s">
        <v>264</v>
      </c>
      <c r="P18" s="1" t="s">
        <v>304</v>
      </c>
      <c r="Q18" s="1" t="s">
        <v>318</v>
      </c>
      <c r="S18" s="1" t="s">
        <v>741</v>
      </c>
      <c r="T18" s="1" t="s">
        <v>742</v>
      </c>
    </row>
    <row r="19" spans="1:20" ht="131" customHeight="1" x14ac:dyDescent="0.35">
      <c r="A19" s="1" t="s">
        <v>721</v>
      </c>
      <c r="B19" s="1" t="s">
        <v>492</v>
      </c>
      <c r="C19" s="1" t="s">
        <v>493</v>
      </c>
      <c r="D19" s="1" t="s">
        <v>479</v>
      </c>
      <c r="E19" s="1" t="s">
        <v>763</v>
      </c>
      <c r="F19" s="1" t="s">
        <v>685</v>
      </c>
      <c r="G19" s="1" t="s">
        <v>686</v>
      </c>
      <c r="H19" s="1" t="s">
        <v>684</v>
      </c>
      <c r="I19" s="1" t="s">
        <v>61</v>
      </c>
      <c r="J19" s="1" t="s">
        <v>690</v>
      </c>
      <c r="K19" s="1" t="s">
        <v>682</v>
      </c>
      <c r="L19" s="1" t="s">
        <v>601</v>
      </c>
      <c r="M19" s="1" t="s">
        <v>669</v>
      </c>
      <c r="N19" s="1" t="s">
        <v>688</v>
      </c>
      <c r="O19" s="1" t="s">
        <v>687</v>
      </c>
      <c r="P19" s="1" t="s">
        <v>665</v>
      </c>
      <c r="Q19" s="1" t="s">
        <v>683</v>
      </c>
      <c r="R19" s="1" t="s">
        <v>691</v>
      </c>
      <c r="S19" s="1" t="s">
        <v>681</v>
      </c>
      <c r="T19" s="1" t="s">
        <v>689</v>
      </c>
    </row>
    <row r="20" spans="1:20" ht="174" x14ac:dyDescent="0.35">
      <c r="A20" s="1" t="s">
        <v>720</v>
      </c>
      <c r="B20" s="1" t="s">
        <v>90</v>
      </c>
      <c r="C20" s="1" t="s">
        <v>471</v>
      </c>
      <c r="D20" s="1" t="s">
        <v>476</v>
      </c>
      <c r="F20" s="1" t="s">
        <v>195</v>
      </c>
      <c r="G20" s="1" t="s">
        <v>210</v>
      </c>
      <c r="H20" s="1" t="s">
        <v>224</v>
      </c>
      <c r="I20" s="1" t="s">
        <v>238</v>
      </c>
      <c r="J20" s="1" t="s">
        <v>244</v>
      </c>
      <c r="K20" s="1" t="s">
        <v>268</v>
      </c>
      <c r="L20" s="1" t="s">
        <v>279</v>
      </c>
      <c r="M20" s="1" t="s">
        <v>287</v>
      </c>
      <c r="N20" s="1" t="s">
        <v>293</v>
      </c>
      <c r="O20" s="1" t="s">
        <v>256</v>
      </c>
      <c r="P20" s="1" t="s">
        <v>300</v>
      </c>
      <c r="Q20" s="1" t="s">
        <v>310</v>
      </c>
      <c r="R20" s="1" t="s">
        <v>325</v>
      </c>
      <c r="S20" s="1" t="s">
        <v>730</v>
      </c>
      <c r="T20" s="1" t="s">
        <v>729</v>
      </c>
    </row>
    <row r="21" spans="1:20" ht="116" x14ac:dyDescent="0.35">
      <c r="A21" s="1" t="s">
        <v>720</v>
      </c>
      <c r="B21" s="1" t="s">
        <v>93</v>
      </c>
      <c r="C21" s="1" t="s">
        <v>467</v>
      </c>
      <c r="D21" s="1" t="s">
        <v>476</v>
      </c>
      <c r="F21" s="1" t="s">
        <v>198</v>
      </c>
      <c r="G21" s="1" t="s">
        <v>213</v>
      </c>
      <c r="H21" s="1" t="s">
        <v>227</v>
      </c>
      <c r="I21" s="1" t="s">
        <v>239</v>
      </c>
      <c r="J21" s="1" t="s">
        <v>247</v>
      </c>
      <c r="K21" s="1" t="s">
        <v>272</v>
      </c>
      <c r="L21" s="1" t="s">
        <v>281</v>
      </c>
      <c r="O21" s="1" t="s">
        <v>259</v>
      </c>
      <c r="Q21" s="1" t="s">
        <v>313</v>
      </c>
      <c r="R21" s="1" t="s">
        <v>247</v>
      </c>
      <c r="S21" s="1" t="s">
        <v>734</v>
      </c>
      <c r="T21" s="1" t="s">
        <v>733</v>
      </c>
    </row>
    <row r="22" spans="1:20" ht="145" x14ac:dyDescent="0.35">
      <c r="A22" s="1" t="s">
        <v>721</v>
      </c>
      <c r="B22" s="1" t="s">
        <v>482</v>
      </c>
      <c r="C22" s="1" t="s">
        <v>483</v>
      </c>
      <c r="D22" s="1" t="s">
        <v>479</v>
      </c>
      <c r="E22" s="1" t="s">
        <v>760</v>
      </c>
      <c r="F22" s="1" t="s">
        <v>646</v>
      </c>
      <c r="G22" s="1" t="s">
        <v>647</v>
      </c>
      <c r="H22" s="1" t="s">
        <v>650</v>
      </c>
      <c r="I22" s="1" t="s">
        <v>649</v>
      </c>
      <c r="J22" s="1" t="s">
        <v>644</v>
      </c>
      <c r="K22" s="1" t="s">
        <v>643</v>
      </c>
      <c r="L22" s="1" t="s">
        <v>601</v>
      </c>
      <c r="M22" s="1" t="s">
        <v>656</v>
      </c>
      <c r="N22" s="1" t="s">
        <v>652</v>
      </c>
      <c r="O22" s="1" t="s">
        <v>651</v>
      </c>
      <c r="P22" s="1" t="s">
        <v>665</v>
      </c>
      <c r="Q22" s="1" t="s">
        <v>645</v>
      </c>
      <c r="R22" s="1" t="s">
        <v>655</v>
      </c>
      <c r="S22" s="1" t="s">
        <v>653</v>
      </c>
      <c r="T22" s="1" t="s">
        <v>654</v>
      </c>
    </row>
    <row r="23" spans="1:20" ht="145" x14ac:dyDescent="0.35">
      <c r="A23" s="1" t="s">
        <v>721</v>
      </c>
      <c r="B23" s="1" t="s">
        <v>491</v>
      </c>
      <c r="C23" s="1" t="s">
        <v>490</v>
      </c>
      <c r="D23" s="1" t="s">
        <v>479</v>
      </c>
      <c r="E23" s="1" t="s">
        <v>755</v>
      </c>
      <c r="F23" s="1" t="s">
        <v>546</v>
      </c>
      <c r="G23" s="1" t="s">
        <v>528</v>
      </c>
      <c r="H23" s="1" t="s">
        <v>558</v>
      </c>
      <c r="I23" s="1" t="s">
        <v>548</v>
      </c>
      <c r="J23" s="1" t="s">
        <v>553</v>
      </c>
      <c r="K23" s="1" t="s">
        <v>557</v>
      </c>
      <c r="L23" s="1" t="s">
        <v>536</v>
      </c>
      <c r="M23" s="1" t="s">
        <v>554</v>
      </c>
      <c r="N23" s="1" t="s">
        <v>556</v>
      </c>
      <c r="O23" s="1" t="s">
        <v>552</v>
      </c>
      <c r="P23" s="1" t="s">
        <v>559</v>
      </c>
      <c r="Q23" s="1" t="s">
        <v>550</v>
      </c>
      <c r="R23" s="1" t="s">
        <v>549</v>
      </c>
      <c r="S23" s="1" t="s">
        <v>724</v>
      </c>
      <c r="T23" s="1" t="s">
        <v>749</v>
      </c>
    </row>
    <row r="24" spans="1:20" ht="232" x14ac:dyDescent="0.35">
      <c r="A24" s="1" t="s">
        <v>720</v>
      </c>
      <c r="B24" s="1" t="s">
        <v>94</v>
      </c>
      <c r="C24" s="1" t="s">
        <v>468</v>
      </c>
      <c r="D24" s="1" t="s">
        <v>476</v>
      </c>
      <c r="F24" s="1" t="s">
        <v>199</v>
      </c>
      <c r="G24" s="1" t="s">
        <v>214</v>
      </c>
      <c r="H24" s="1" t="s">
        <v>171</v>
      </c>
      <c r="I24" s="1" t="s">
        <v>171</v>
      </c>
      <c r="J24" s="1" t="s">
        <v>171</v>
      </c>
      <c r="K24" s="1" t="s">
        <v>171</v>
      </c>
      <c r="L24" s="1" t="s">
        <v>171</v>
      </c>
      <c r="M24" s="1" t="s">
        <v>171</v>
      </c>
      <c r="O24" s="1" t="s">
        <v>260</v>
      </c>
      <c r="Q24" s="1" t="s">
        <v>314</v>
      </c>
      <c r="S24" s="1" t="s">
        <v>722</v>
      </c>
      <c r="T24" s="1" t="s">
        <v>735</v>
      </c>
    </row>
    <row r="25" spans="1:20" ht="203" x14ac:dyDescent="0.35">
      <c r="A25" s="1" t="s">
        <v>721</v>
      </c>
      <c r="B25" s="1" t="s">
        <v>486</v>
      </c>
      <c r="C25" s="1" t="s">
        <v>487</v>
      </c>
      <c r="D25" s="1" t="s">
        <v>479</v>
      </c>
      <c r="E25" s="1" t="s">
        <v>754</v>
      </c>
      <c r="F25" s="1" t="s">
        <v>525</v>
      </c>
      <c r="G25" s="1" t="s">
        <v>528</v>
      </c>
      <c r="H25" s="1" t="s">
        <v>547</v>
      </c>
      <c r="I25" s="1" t="s">
        <v>544</v>
      </c>
      <c r="J25" s="1" t="s">
        <v>540</v>
      </c>
      <c r="K25" s="1" t="s">
        <v>541</v>
      </c>
      <c r="L25" s="1" t="s">
        <v>536</v>
      </c>
      <c r="M25" s="1" t="s">
        <v>535</v>
      </c>
      <c r="N25" s="1" t="s">
        <v>539</v>
      </c>
      <c r="O25" s="1" t="s">
        <v>538</v>
      </c>
      <c r="P25" s="1" t="s">
        <v>543</v>
      </c>
      <c r="Q25" s="1" t="s">
        <v>526</v>
      </c>
      <c r="R25" s="1" t="s">
        <v>542</v>
      </c>
      <c r="S25" s="1" t="s">
        <v>725</v>
      </c>
      <c r="T25" s="1" t="s">
        <v>748</v>
      </c>
    </row>
    <row r="26" spans="1:20" ht="232" x14ac:dyDescent="0.35">
      <c r="A26" s="1" t="s">
        <v>720</v>
      </c>
      <c r="B26" s="1" t="s">
        <v>95</v>
      </c>
      <c r="C26" s="1" t="s">
        <v>469</v>
      </c>
      <c r="D26" s="1" t="s">
        <v>476</v>
      </c>
      <c r="F26" s="1" t="s">
        <v>200</v>
      </c>
      <c r="G26" s="1" t="s">
        <v>215</v>
      </c>
      <c r="H26" s="1" t="s">
        <v>228</v>
      </c>
      <c r="I26" s="1" t="s">
        <v>239</v>
      </c>
      <c r="J26" s="1" t="s">
        <v>248</v>
      </c>
      <c r="K26" s="1" t="s">
        <v>273</v>
      </c>
      <c r="O26" s="1" t="s">
        <v>261</v>
      </c>
      <c r="P26" s="1" t="s">
        <v>302</v>
      </c>
      <c r="Q26" s="1" t="s">
        <v>315</v>
      </c>
      <c r="S26" s="1" t="s">
        <v>750</v>
      </c>
      <c r="T26" s="1" t="s">
        <v>751</v>
      </c>
    </row>
    <row r="27" spans="1:20" ht="217.5" customHeight="1" x14ac:dyDescent="0.4">
      <c r="A27" s="1" t="s">
        <v>721</v>
      </c>
      <c r="B27" s="1" t="s">
        <v>488</v>
      </c>
      <c r="C27" s="1" t="s">
        <v>489</v>
      </c>
      <c r="D27" s="1" t="s">
        <v>479</v>
      </c>
      <c r="E27" s="1" t="s">
        <v>756</v>
      </c>
      <c r="F27" s="1" t="s">
        <v>582</v>
      </c>
      <c r="G27" s="1" t="s">
        <v>583</v>
      </c>
      <c r="H27" s="1" t="s">
        <v>584</v>
      </c>
      <c r="I27" s="1" t="s">
        <v>61</v>
      </c>
      <c r="J27" s="1" t="s">
        <v>553</v>
      </c>
      <c r="K27" s="1" t="s">
        <v>585</v>
      </c>
      <c r="L27" s="1" t="s">
        <v>587</v>
      </c>
      <c r="M27" s="1" t="s">
        <v>595</v>
      </c>
      <c r="N27" s="1" t="s">
        <v>593</v>
      </c>
      <c r="O27" s="1" t="s">
        <v>594</v>
      </c>
      <c r="P27" s="1" t="s">
        <v>606</v>
      </c>
      <c r="Q27" s="1" t="s">
        <v>596</v>
      </c>
      <c r="R27" s="1" t="s">
        <v>592</v>
      </c>
      <c r="S27" s="1" t="s">
        <v>588</v>
      </c>
      <c r="T27" s="70" t="s">
        <v>586</v>
      </c>
    </row>
    <row r="28" spans="1:20" ht="290" x14ac:dyDescent="0.35">
      <c r="A28" s="1" t="s">
        <v>720</v>
      </c>
      <c r="B28" s="1" t="s">
        <v>89</v>
      </c>
      <c r="C28" s="1" t="s">
        <v>472</v>
      </c>
      <c r="D28" s="1" t="s">
        <v>476</v>
      </c>
      <c r="F28" s="1" t="s">
        <v>194</v>
      </c>
      <c r="G28" s="1" t="s">
        <v>209</v>
      </c>
      <c r="H28" s="1" t="s">
        <v>223</v>
      </c>
      <c r="I28" s="1" t="s">
        <v>237</v>
      </c>
      <c r="J28" s="1" t="s">
        <v>243</v>
      </c>
      <c r="K28" s="1" t="s">
        <v>269</v>
      </c>
      <c r="L28" s="1" t="s">
        <v>278</v>
      </c>
      <c r="M28" s="1" t="s">
        <v>286</v>
      </c>
      <c r="N28" s="1" t="s">
        <v>292</v>
      </c>
      <c r="O28" s="1" t="s">
        <v>255</v>
      </c>
      <c r="P28" s="1" t="s">
        <v>299</v>
      </c>
      <c r="Q28" s="1" t="s">
        <v>309</v>
      </c>
      <c r="R28" s="1" t="s">
        <v>324</v>
      </c>
      <c r="S28" s="1" t="s">
        <v>727</v>
      </c>
      <c r="T28" s="1" t="s">
        <v>728</v>
      </c>
    </row>
    <row r="29" spans="1:20" x14ac:dyDescent="0.35">
      <c r="F29" s="1">
        <f>COUNTA(F3:F28)</f>
        <v>25</v>
      </c>
      <c r="G29" s="1">
        <f>COUNTA(G3:G28)</f>
        <v>24</v>
      </c>
      <c r="H29" s="1">
        <f>COUNTA(H3:H28)</f>
        <v>26</v>
      </c>
      <c r="I29" s="1">
        <f>COUNTA(I3:I28)</f>
        <v>26</v>
      </c>
      <c r="J29" s="1">
        <f>COUNTA(J3:J28)</f>
        <v>23</v>
      </c>
      <c r="K29" s="1">
        <f>COUNTA(K3:K28)</f>
        <v>22</v>
      </c>
      <c r="L29" s="1">
        <f>COUNTA(L3:L28)</f>
        <v>20</v>
      </c>
      <c r="M29" s="1">
        <f>COUNTA(M3:M28)</f>
        <v>19</v>
      </c>
      <c r="N29" s="1">
        <f>COUNTA(N3:N28)</f>
        <v>18</v>
      </c>
      <c r="O29" s="1">
        <f>COUNTA(O3:O28)</f>
        <v>25</v>
      </c>
      <c r="P29" s="1">
        <f>COUNTA(P3:P28)</f>
        <v>21</v>
      </c>
      <c r="Q29" s="1">
        <f>COUNTA(Q3:Q28)</f>
        <v>25</v>
      </c>
      <c r="R29" s="1">
        <f>COUNTA(R3:R28)</f>
        <v>19</v>
      </c>
      <c r="S29" s="1">
        <f>COUNTA(S3:S28)</f>
        <v>26</v>
      </c>
      <c r="T29" s="1">
        <f>COUNTA(T3:T28)</f>
        <v>26</v>
      </c>
    </row>
    <row r="30" spans="1:20" x14ac:dyDescent="0.35">
      <c r="F30" s="1">
        <f>COUNTA(F16:F28)</f>
        <v>12</v>
      </c>
      <c r="G30" s="1">
        <f>COUNTA(G16:G28)</f>
        <v>12</v>
      </c>
      <c r="H30" s="1">
        <f>COUNTA(H16:H28)</f>
        <v>13</v>
      </c>
      <c r="I30" s="1">
        <f>COUNTA(I16:I28)</f>
        <v>13</v>
      </c>
      <c r="J30" s="1">
        <f>COUNTA(J16:J28)</f>
        <v>12</v>
      </c>
      <c r="K30" s="1">
        <f>COUNTA(K16:K28)</f>
        <v>11</v>
      </c>
      <c r="L30" s="1">
        <f>COUNTA(L16:L28)</f>
        <v>10</v>
      </c>
      <c r="M30" s="1">
        <f>COUNTA(M16:M28)</f>
        <v>9</v>
      </c>
      <c r="N30" s="1">
        <f>COUNTA(N16:N28)</f>
        <v>8</v>
      </c>
      <c r="O30" s="1">
        <f>COUNTA(O16:O28)</f>
        <v>12</v>
      </c>
      <c r="P30" s="1">
        <f>COUNTA(P16:P28)</f>
        <v>10</v>
      </c>
      <c r="Q30" s="1">
        <f>COUNTA(Q16:Q28)</f>
        <v>12</v>
      </c>
      <c r="R30" s="1">
        <f>COUNTA(R16:R28)</f>
        <v>9</v>
      </c>
      <c r="S30" s="1">
        <f>COUNTA(S16:S28)</f>
        <v>13</v>
      </c>
      <c r="T30" s="1">
        <f>COUNTA(T16:T28)</f>
        <v>13</v>
      </c>
    </row>
  </sheetData>
  <autoFilter ref="A2:T2" xr:uid="{598764D5-B84F-4FEA-981C-73177A9CEA03}">
    <sortState xmlns:xlrd2="http://schemas.microsoft.com/office/spreadsheetml/2017/richdata2" ref="A3:T30">
      <sortCondition ref="B2"/>
    </sortState>
  </autoFilter>
  <pageMargins left="0.7" right="0.7" top="0.75" bottom="0.75" header="0.3" footer="0.3"/>
  <pageSetup paperSize="9" orientation="portrait"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09C50-986A-4CD3-812B-8FF0A5260A31}">
  <dimension ref="A1:H42"/>
  <sheetViews>
    <sheetView topLeftCell="A15" workbookViewId="0">
      <selection activeCell="E1" sqref="E1"/>
    </sheetView>
  </sheetViews>
  <sheetFormatPr defaultRowHeight="15.5" x14ac:dyDescent="0.35"/>
  <cols>
    <col min="1" max="1" width="18" style="45" customWidth="1"/>
    <col min="2" max="2" width="9.26953125" style="32" customWidth="1"/>
    <col min="3" max="3" width="34.453125" style="21" customWidth="1"/>
    <col min="4" max="4" width="15.54296875" style="21" customWidth="1"/>
    <col min="5" max="5" width="56.1796875" style="24" customWidth="1"/>
    <col min="6" max="6" width="21.54296875" style="24" customWidth="1"/>
    <col min="7" max="7" width="36.26953125" style="24" customWidth="1"/>
    <col min="8" max="8" width="32" style="24" customWidth="1"/>
  </cols>
  <sheetData>
    <row r="1" spans="1:8" x14ac:dyDescent="0.35">
      <c r="A1" s="32" t="s">
        <v>77</v>
      </c>
      <c r="E1" s="18"/>
      <c r="F1" s="18"/>
      <c r="G1" s="18"/>
      <c r="H1" s="18"/>
    </row>
    <row r="2" spans="1:8" x14ac:dyDescent="0.35">
      <c r="A2" s="50"/>
      <c r="B2" s="51"/>
      <c r="C2" s="52"/>
      <c r="D2" s="52"/>
      <c r="E2" s="53"/>
      <c r="F2" s="53"/>
      <c r="G2" s="53"/>
      <c r="H2" s="53"/>
    </row>
    <row r="3" spans="1:8" ht="31" x14ac:dyDescent="0.35">
      <c r="A3" s="20" t="s">
        <v>80</v>
      </c>
      <c r="B3" s="19" t="s">
        <v>61</v>
      </c>
      <c r="C3" s="20" t="s">
        <v>81</v>
      </c>
      <c r="D3" s="20" t="s">
        <v>82</v>
      </c>
      <c r="E3" s="20" t="s">
        <v>84</v>
      </c>
      <c r="F3" s="20" t="s">
        <v>85</v>
      </c>
      <c r="G3" s="20" t="s">
        <v>86</v>
      </c>
      <c r="H3" s="20" t="s">
        <v>87</v>
      </c>
    </row>
    <row r="4" spans="1:8" x14ac:dyDescent="0.35">
      <c r="A4" s="20"/>
      <c r="B4" s="19"/>
      <c r="C4" s="20"/>
      <c r="D4" s="20"/>
      <c r="E4" s="20"/>
      <c r="F4" s="20"/>
      <c r="G4" s="20"/>
      <c r="H4" s="20"/>
    </row>
    <row r="5" spans="1:8" x14ac:dyDescent="0.35">
      <c r="A5" s="74" t="s">
        <v>112</v>
      </c>
      <c r="B5" s="35">
        <v>1</v>
      </c>
      <c r="C5" s="21" t="s">
        <v>113</v>
      </c>
      <c r="D5" s="21" t="s">
        <v>114</v>
      </c>
      <c r="E5" s="21" t="s">
        <v>116</v>
      </c>
      <c r="F5" s="21" t="s">
        <v>117</v>
      </c>
      <c r="G5" s="21" t="s">
        <v>117</v>
      </c>
      <c r="H5" s="21" t="s">
        <v>117</v>
      </c>
    </row>
    <row r="6" spans="1:8" ht="31" x14ac:dyDescent="0.35">
      <c r="A6" s="74"/>
      <c r="B6" s="35">
        <f>B5+1</f>
        <v>2</v>
      </c>
      <c r="C6" s="21" t="s">
        <v>130</v>
      </c>
      <c r="D6" s="21" t="s">
        <v>114</v>
      </c>
      <c r="E6" s="21" t="s">
        <v>131</v>
      </c>
      <c r="F6" s="21" t="s">
        <v>117</v>
      </c>
      <c r="G6" s="21" t="s">
        <v>117</v>
      </c>
      <c r="H6" s="21" t="s">
        <v>117</v>
      </c>
    </row>
    <row r="7" spans="1:8" ht="31" x14ac:dyDescent="0.35">
      <c r="A7" s="74"/>
      <c r="B7" s="35">
        <v>3</v>
      </c>
      <c r="C7" s="21" t="s">
        <v>137</v>
      </c>
      <c r="D7" s="21" t="s">
        <v>114</v>
      </c>
      <c r="E7" s="21" t="s">
        <v>138</v>
      </c>
      <c r="F7" s="21" t="s">
        <v>117</v>
      </c>
      <c r="G7" s="21" t="s">
        <v>117</v>
      </c>
      <c r="H7" s="21" t="s">
        <v>117</v>
      </c>
    </row>
    <row r="8" spans="1:8" ht="31" x14ac:dyDescent="0.35">
      <c r="A8" s="74"/>
      <c r="B8" s="35">
        <v>3</v>
      </c>
      <c r="C8" s="21" t="s">
        <v>142</v>
      </c>
      <c r="D8" s="21" t="s">
        <v>143</v>
      </c>
      <c r="E8" s="21" t="s">
        <v>145</v>
      </c>
      <c r="F8" s="21" t="s">
        <v>117</v>
      </c>
      <c r="G8" s="21" t="s">
        <v>117</v>
      </c>
      <c r="H8" s="21" t="s">
        <v>117</v>
      </c>
    </row>
    <row r="9" spans="1:8" ht="46.5" x14ac:dyDescent="0.35">
      <c r="A9" s="74"/>
      <c r="B9" s="35">
        <v>4</v>
      </c>
      <c r="C9" s="21" t="s">
        <v>152</v>
      </c>
      <c r="D9" s="21" t="s">
        <v>143</v>
      </c>
      <c r="E9" s="21" t="s">
        <v>154</v>
      </c>
      <c r="F9" s="21" t="s">
        <v>117</v>
      </c>
      <c r="G9" s="21" t="s">
        <v>117</v>
      </c>
      <c r="H9" s="21" t="s">
        <v>117</v>
      </c>
    </row>
    <row r="10" spans="1:8" ht="31" x14ac:dyDescent="0.35">
      <c r="A10" s="37"/>
      <c r="B10" s="35">
        <v>5</v>
      </c>
      <c r="C10" s="21" t="s">
        <v>164</v>
      </c>
      <c r="D10" s="21" t="s">
        <v>114</v>
      </c>
      <c r="E10" s="21" t="s">
        <v>165</v>
      </c>
      <c r="F10" s="21" t="s">
        <v>117</v>
      </c>
      <c r="G10" s="21" t="s">
        <v>117</v>
      </c>
      <c r="H10" s="21" t="s">
        <v>117</v>
      </c>
    </row>
    <row r="11" spans="1:8" x14ac:dyDescent="0.35">
      <c r="A11" s="38"/>
      <c r="B11" s="39">
        <f>B10+1</f>
        <v>6</v>
      </c>
      <c r="C11" s="22" t="s">
        <v>168</v>
      </c>
      <c r="D11" s="22" t="s">
        <v>114</v>
      </c>
      <c r="E11" s="22" t="s">
        <v>169</v>
      </c>
      <c r="F11" s="22" t="s">
        <v>117</v>
      </c>
      <c r="G11" s="22" t="s">
        <v>170</v>
      </c>
      <c r="H11" s="22"/>
    </row>
    <row r="12" spans="1:8" ht="77.5" x14ac:dyDescent="0.35">
      <c r="A12" s="40" t="s">
        <v>180</v>
      </c>
      <c r="B12" s="41">
        <f>B11+1</f>
        <v>7</v>
      </c>
      <c r="C12" s="42" t="s">
        <v>181</v>
      </c>
      <c r="D12" s="42" t="s">
        <v>143</v>
      </c>
      <c r="E12" s="28" t="s">
        <v>183</v>
      </c>
      <c r="F12" s="28" t="s">
        <v>184</v>
      </c>
      <c r="G12" s="28"/>
      <c r="H12" s="28"/>
    </row>
    <row r="13" spans="1:8" ht="139.5" x14ac:dyDescent="0.35">
      <c r="A13" s="38"/>
      <c r="B13" s="39">
        <f>B12+1</f>
        <v>8</v>
      </c>
      <c r="C13" s="22" t="s">
        <v>186</v>
      </c>
      <c r="D13" s="22" t="s">
        <v>143</v>
      </c>
      <c r="E13" s="29" t="s">
        <v>187</v>
      </c>
      <c r="F13" s="29" t="s">
        <v>184</v>
      </c>
      <c r="G13" s="29"/>
      <c r="H13" s="29"/>
    </row>
    <row r="14" spans="1:8" ht="62" x14ac:dyDescent="0.35">
      <c r="A14" s="40" t="s">
        <v>188</v>
      </c>
      <c r="B14" s="41">
        <f t="shared" ref="B14:B41" si="0">B13+1</f>
        <v>9</v>
      </c>
      <c r="C14" s="62" t="s">
        <v>189</v>
      </c>
      <c r="D14" s="42" t="s">
        <v>143</v>
      </c>
      <c r="E14" s="42" t="s">
        <v>190</v>
      </c>
      <c r="F14" s="42" t="s">
        <v>184</v>
      </c>
      <c r="G14" s="42" t="s">
        <v>191</v>
      </c>
      <c r="H14" s="42" t="s">
        <v>192</v>
      </c>
    </row>
    <row r="15" spans="1:8" ht="108.5" x14ac:dyDescent="0.35">
      <c r="A15" s="37"/>
      <c r="B15" s="35">
        <f t="shared" si="0"/>
        <v>10</v>
      </c>
      <c r="C15" s="60" t="s">
        <v>205</v>
      </c>
      <c r="D15" s="21" t="s">
        <v>114</v>
      </c>
      <c r="E15" s="21" t="s">
        <v>206</v>
      </c>
      <c r="F15" s="21" t="s">
        <v>184</v>
      </c>
      <c r="G15" s="21" t="s">
        <v>207</v>
      </c>
      <c r="H15" s="21"/>
    </row>
    <row r="16" spans="1:8" ht="62" x14ac:dyDescent="0.35">
      <c r="A16" s="37"/>
      <c r="B16" s="35">
        <f t="shared" si="0"/>
        <v>11</v>
      </c>
      <c r="C16" s="60" t="s">
        <v>219</v>
      </c>
      <c r="D16" s="21" t="s">
        <v>143</v>
      </c>
      <c r="E16" s="21" t="s">
        <v>220</v>
      </c>
      <c r="F16" s="21" t="s">
        <v>184</v>
      </c>
      <c r="G16" s="21" t="s">
        <v>221</v>
      </c>
      <c r="H16" s="21" t="s">
        <v>192</v>
      </c>
    </row>
    <row r="17" spans="1:8" ht="31" x14ac:dyDescent="0.35">
      <c r="A17" s="58"/>
      <c r="B17" s="59">
        <f t="shared" si="0"/>
        <v>12</v>
      </c>
      <c r="C17" s="60" t="s">
        <v>234</v>
      </c>
      <c r="D17" s="60" t="s">
        <v>143</v>
      </c>
      <c r="E17" s="60" t="s">
        <v>235</v>
      </c>
      <c r="F17" s="60" t="s">
        <v>184</v>
      </c>
      <c r="G17" s="60"/>
      <c r="H17" s="60"/>
    </row>
    <row r="18" spans="1:8" ht="31" x14ac:dyDescent="0.35">
      <c r="A18" s="58"/>
      <c r="B18" s="59">
        <f t="shared" si="0"/>
        <v>13</v>
      </c>
      <c r="C18" s="60" t="s">
        <v>240</v>
      </c>
      <c r="D18" s="60" t="s">
        <v>143</v>
      </c>
      <c r="E18" s="60" t="s">
        <v>241</v>
      </c>
      <c r="F18" s="60" t="s">
        <v>184</v>
      </c>
      <c r="G18" s="60"/>
      <c r="H18" s="60"/>
    </row>
    <row r="19" spans="1:8" ht="62" x14ac:dyDescent="0.35">
      <c r="A19" s="58"/>
      <c r="B19" s="59">
        <f>B23+1</f>
        <v>18</v>
      </c>
      <c r="C19" s="60" t="s">
        <v>251</v>
      </c>
      <c r="D19" s="60" t="s">
        <v>143</v>
      </c>
      <c r="E19" s="63" t="s">
        <v>252</v>
      </c>
      <c r="F19" s="63" t="s">
        <v>184</v>
      </c>
      <c r="G19" s="63" t="s">
        <v>253</v>
      </c>
      <c r="H19" s="63"/>
    </row>
    <row r="20" spans="1:8" ht="62" x14ac:dyDescent="0.35">
      <c r="A20" s="58"/>
      <c r="B20" s="59">
        <f>B18+1</f>
        <v>14</v>
      </c>
      <c r="C20" s="60" t="s">
        <v>266</v>
      </c>
      <c r="D20" s="60" t="s">
        <v>114</v>
      </c>
      <c r="E20" s="60" t="s">
        <v>267</v>
      </c>
      <c r="F20" s="60" t="s">
        <v>184</v>
      </c>
      <c r="G20" s="60"/>
      <c r="H20" s="60"/>
    </row>
    <row r="21" spans="1:8" ht="46.5" x14ac:dyDescent="0.35">
      <c r="A21" s="37"/>
      <c r="B21" s="35">
        <f t="shared" si="0"/>
        <v>15</v>
      </c>
      <c r="C21" s="21" t="s">
        <v>275</v>
      </c>
      <c r="D21" s="21" t="s">
        <v>114</v>
      </c>
      <c r="E21" s="21" t="s">
        <v>276</v>
      </c>
      <c r="F21" s="21" t="s">
        <v>184</v>
      </c>
      <c r="G21" s="21"/>
      <c r="H21" s="21"/>
    </row>
    <row r="22" spans="1:8" ht="108.5" x14ac:dyDescent="0.35">
      <c r="A22" s="37"/>
      <c r="B22" s="35">
        <f t="shared" si="0"/>
        <v>16</v>
      </c>
      <c r="C22" s="21" t="s">
        <v>282</v>
      </c>
      <c r="D22" s="21" t="s">
        <v>143</v>
      </c>
      <c r="E22" s="21" t="s">
        <v>283</v>
      </c>
      <c r="F22" s="21" t="s">
        <v>184</v>
      </c>
      <c r="G22" s="24" t="s">
        <v>284</v>
      </c>
      <c r="H22" s="21" t="s">
        <v>285</v>
      </c>
    </row>
    <row r="23" spans="1:8" ht="108.5" x14ac:dyDescent="0.35">
      <c r="A23" s="37"/>
      <c r="B23" s="35">
        <f t="shared" si="0"/>
        <v>17</v>
      </c>
      <c r="C23" s="21" t="s">
        <v>289</v>
      </c>
      <c r="D23" s="21" t="s">
        <v>114</v>
      </c>
      <c r="E23" s="21" t="s">
        <v>290</v>
      </c>
      <c r="F23" s="21" t="s">
        <v>184</v>
      </c>
      <c r="G23" s="21" t="s">
        <v>291</v>
      </c>
      <c r="H23" s="21"/>
    </row>
    <row r="24" spans="1:8" ht="77.5" x14ac:dyDescent="0.35">
      <c r="A24" s="33"/>
      <c r="B24" s="35">
        <f>B19+1</f>
        <v>19</v>
      </c>
      <c r="C24" s="21" t="s">
        <v>296</v>
      </c>
      <c r="D24" s="21" t="s">
        <v>143</v>
      </c>
      <c r="E24" s="24" t="s">
        <v>297</v>
      </c>
      <c r="F24" s="24" t="s">
        <v>184</v>
      </c>
      <c r="G24" s="24" t="s">
        <v>298</v>
      </c>
    </row>
    <row r="25" spans="1:8" ht="31" x14ac:dyDescent="0.35">
      <c r="A25" s="37"/>
      <c r="B25" s="35">
        <f t="shared" si="0"/>
        <v>20</v>
      </c>
      <c r="C25" s="21" t="s">
        <v>23</v>
      </c>
      <c r="D25" s="21" t="s">
        <v>143</v>
      </c>
      <c r="E25" s="24" t="s">
        <v>306</v>
      </c>
      <c r="F25" s="24" t="s">
        <v>184</v>
      </c>
      <c r="G25" s="24" t="s">
        <v>307</v>
      </c>
    </row>
    <row r="26" spans="1:8" ht="108.5" x14ac:dyDescent="0.35">
      <c r="A26" s="38"/>
      <c r="B26" s="39">
        <f t="shared" si="0"/>
        <v>21</v>
      </c>
      <c r="C26" s="27" t="s">
        <v>320</v>
      </c>
      <c r="D26" s="27" t="s">
        <v>114</v>
      </c>
      <c r="E26" s="27" t="s">
        <v>321</v>
      </c>
      <c r="F26" s="27" t="s">
        <v>184</v>
      </c>
      <c r="G26" s="27" t="s">
        <v>322</v>
      </c>
      <c r="H26" s="27" t="s">
        <v>323</v>
      </c>
    </row>
    <row r="27" spans="1:8" ht="155" x14ac:dyDescent="0.35">
      <c r="A27" s="37" t="s">
        <v>328</v>
      </c>
      <c r="B27" s="41">
        <f t="shared" si="0"/>
        <v>22</v>
      </c>
      <c r="C27" s="56" t="s">
        <v>329</v>
      </c>
      <c r="D27" s="56" t="s">
        <v>143</v>
      </c>
      <c r="E27" s="56" t="s">
        <v>330</v>
      </c>
      <c r="F27" s="56" t="s">
        <v>184</v>
      </c>
      <c r="G27" s="56" t="s">
        <v>331</v>
      </c>
      <c r="H27" s="56"/>
    </row>
    <row r="28" spans="1:8" ht="139.5" x14ac:dyDescent="0.35">
      <c r="A28" s="37"/>
      <c r="B28" s="35">
        <f t="shared" si="0"/>
        <v>23</v>
      </c>
      <c r="C28" s="23" t="s">
        <v>336</v>
      </c>
      <c r="D28" s="23" t="s">
        <v>143</v>
      </c>
      <c r="E28" s="25" t="s">
        <v>337</v>
      </c>
      <c r="F28" s="25" t="s">
        <v>184</v>
      </c>
      <c r="G28" s="25" t="s">
        <v>338</v>
      </c>
      <c r="H28" s="25"/>
    </row>
    <row r="29" spans="1:8" ht="46.5" x14ac:dyDescent="0.35">
      <c r="A29" s="37"/>
      <c r="B29" s="35">
        <f t="shared" si="0"/>
        <v>24</v>
      </c>
      <c r="C29" s="21" t="s">
        <v>343</v>
      </c>
      <c r="D29" s="21" t="s">
        <v>114</v>
      </c>
      <c r="E29" s="24" t="s">
        <v>344</v>
      </c>
      <c r="F29" s="24" t="s">
        <v>184</v>
      </c>
      <c r="G29" s="24" t="s">
        <v>345</v>
      </c>
    </row>
    <row r="30" spans="1:8" ht="46.5" x14ac:dyDescent="0.35">
      <c r="A30" s="37"/>
      <c r="B30" s="35">
        <f t="shared" si="0"/>
        <v>25</v>
      </c>
      <c r="C30" s="21" t="s">
        <v>349</v>
      </c>
      <c r="D30" s="21" t="s">
        <v>143</v>
      </c>
      <c r="E30" s="24" t="s">
        <v>350</v>
      </c>
      <c r="F30" s="24" t="s">
        <v>184</v>
      </c>
      <c r="G30" s="24" t="s">
        <v>351</v>
      </c>
      <c r="H30" s="24" t="s">
        <v>352</v>
      </c>
    </row>
    <row r="31" spans="1:8" ht="31" x14ac:dyDescent="0.35">
      <c r="A31" s="38"/>
      <c r="B31" s="39">
        <f t="shared" si="0"/>
        <v>26</v>
      </c>
      <c r="C31" s="22" t="s">
        <v>356</v>
      </c>
      <c r="D31" s="22" t="s">
        <v>143</v>
      </c>
      <c r="E31" s="29" t="s">
        <v>357</v>
      </c>
      <c r="F31" s="29"/>
      <c r="G31" s="29"/>
      <c r="H31" s="29"/>
    </row>
    <row r="32" spans="1:8" ht="77.5" x14ac:dyDescent="0.35">
      <c r="A32" s="37" t="s">
        <v>361</v>
      </c>
      <c r="B32" s="41">
        <f t="shared" si="0"/>
        <v>27</v>
      </c>
      <c r="C32" s="43" t="s">
        <v>362</v>
      </c>
      <c r="D32" s="43" t="s">
        <v>143</v>
      </c>
      <c r="E32" s="30" t="s">
        <v>363</v>
      </c>
      <c r="F32" s="30" t="s">
        <v>184</v>
      </c>
      <c r="G32" s="30" t="s">
        <v>364</v>
      </c>
      <c r="H32" s="30" t="s">
        <v>365</v>
      </c>
    </row>
    <row r="33" spans="1:8" ht="77.5" x14ac:dyDescent="0.35">
      <c r="A33" s="37"/>
      <c r="B33" s="35">
        <f t="shared" si="0"/>
        <v>28</v>
      </c>
      <c r="C33" s="47" t="s">
        <v>369</v>
      </c>
      <c r="D33" s="47" t="s">
        <v>143</v>
      </c>
      <c r="E33" s="48" t="s">
        <v>370</v>
      </c>
      <c r="F33" s="48" t="s">
        <v>184</v>
      </c>
      <c r="G33" s="48" t="s">
        <v>371</v>
      </c>
      <c r="H33" s="48" t="s">
        <v>365</v>
      </c>
    </row>
    <row r="34" spans="1:8" ht="31" x14ac:dyDescent="0.35">
      <c r="A34" s="37"/>
      <c r="B34" s="35">
        <f t="shared" si="0"/>
        <v>29</v>
      </c>
      <c r="C34" s="47" t="s">
        <v>373</v>
      </c>
      <c r="D34" s="47" t="s">
        <v>143</v>
      </c>
      <c r="E34" s="49" t="s">
        <v>374</v>
      </c>
      <c r="F34" s="49"/>
      <c r="G34" s="49"/>
      <c r="H34" s="49"/>
    </row>
    <row r="35" spans="1:8" ht="77.5" x14ac:dyDescent="0.35">
      <c r="A35" s="37"/>
      <c r="B35" s="35">
        <f t="shared" si="0"/>
        <v>30</v>
      </c>
      <c r="C35" s="47" t="s">
        <v>375</v>
      </c>
      <c r="D35" s="47" t="s">
        <v>143</v>
      </c>
      <c r="E35" s="49" t="s">
        <v>376</v>
      </c>
      <c r="F35" s="49"/>
      <c r="G35" s="49" t="s">
        <v>377</v>
      </c>
      <c r="H35" s="49" t="s">
        <v>378</v>
      </c>
    </row>
    <row r="36" spans="1:8" ht="77.5" x14ac:dyDescent="0.35">
      <c r="A36" s="37"/>
      <c r="B36" s="35">
        <f t="shared" si="0"/>
        <v>31</v>
      </c>
      <c r="C36" s="21" t="s">
        <v>380</v>
      </c>
      <c r="D36" s="21" t="s">
        <v>143</v>
      </c>
      <c r="E36" s="24" t="s">
        <v>381</v>
      </c>
      <c r="F36" s="24" t="s">
        <v>184</v>
      </c>
      <c r="H36" s="24" t="s">
        <v>382</v>
      </c>
    </row>
    <row r="37" spans="1:8" x14ac:dyDescent="0.35">
      <c r="A37" s="38"/>
      <c r="B37" s="39">
        <f t="shared" si="0"/>
        <v>32</v>
      </c>
      <c r="C37" s="22" t="s">
        <v>385</v>
      </c>
      <c r="D37" s="22" t="s">
        <v>143</v>
      </c>
      <c r="E37" s="31" t="s">
        <v>386</v>
      </c>
      <c r="F37" s="31" t="s">
        <v>184</v>
      </c>
      <c r="G37" s="31"/>
      <c r="H37" s="31"/>
    </row>
    <row r="38" spans="1:8" ht="93" x14ac:dyDescent="0.35">
      <c r="A38" s="37" t="s">
        <v>388</v>
      </c>
      <c r="B38" s="35">
        <f t="shared" si="0"/>
        <v>33</v>
      </c>
      <c r="C38" s="21" t="s">
        <v>40</v>
      </c>
      <c r="D38" s="21" t="s">
        <v>143</v>
      </c>
      <c r="E38" s="24" t="s">
        <v>389</v>
      </c>
      <c r="F38" s="24" t="s">
        <v>184</v>
      </c>
      <c r="G38" s="24" t="s">
        <v>390</v>
      </c>
      <c r="H38" s="24" t="s">
        <v>391</v>
      </c>
    </row>
    <row r="39" spans="1:8" ht="77.5" x14ac:dyDescent="0.35">
      <c r="A39" s="37"/>
      <c r="B39" s="35">
        <f t="shared" si="0"/>
        <v>34</v>
      </c>
      <c r="C39" s="21" t="s">
        <v>393</v>
      </c>
      <c r="D39" s="21" t="s">
        <v>143</v>
      </c>
      <c r="E39" s="24" t="s">
        <v>394</v>
      </c>
      <c r="F39" s="24" t="s">
        <v>184</v>
      </c>
      <c r="G39" s="24" t="s">
        <v>395</v>
      </c>
    </row>
    <row r="40" spans="1:8" ht="77.5" x14ac:dyDescent="0.35">
      <c r="A40" s="37"/>
      <c r="B40" s="35">
        <f t="shared" si="0"/>
        <v>35</v>
      </c>
      <c r="C40" s="21" t="s">
        <v>44</v>
      </c>
      <c r="D40" s="21" t="s">
        <v>143</v>
      </c>
      <c r="E40" s="24" t="s">
        <v>399</v>
      </c>
      <c r="F40" s="24" t="s">
        <v>184</v>
      </c>
      <c r="G40" s="24" t="s">
        <v>400</v>
      </c>
    </row>
    <row r="41" spans="1:8" ht="31" x14ac:dyDescent="0.35">
      <c r="A41" s="37"/>
      <c r="B41" s="35">
        <f t="shared" si="0"/>
        <v>36</v>
      </c>
      <c r="C41" s="23" t="s">
        <v>403</v>
      </c>
      <c r="D41" s="23" t="s">
        <v>143</v>
      </c>
      <c r="E41" s="25" t="s">
        <v>404</v>
      </c>
      <c r="F41" s="25"/>
      <c r="G41" s="25" t="s">
        <v>405</v>
      </c>
      <c r="H41" s="25"/>
    </row>
    <row r="42" spans="1:8" x14ac:dyDescent="0.35">
      <c r="A42" s="21"/>
      <c r="B42" s="44"/>
    </row>
  </sheetData>
  <mergeCells count="1">
    <mergeCell ref="A5:A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9247C-F9E3-4784-8032-15D25FECBA16}">
  <dimension ref="A1:E81"/>
  <sheetViews>
    <sheetView workbookViewId="0">
      <selection activeCell="C41" sqref="C41"/>
    </sheetView>
  </sheetViews>
  <sheetFormatPr defaultRowHeight="14.5" x14ac:dyDescent="0.35"/>
  <cols>
    <col min="1" max="1" width="75.7265625" bestFit="1" customWidth="1"/>
    <col min="2" max="2" width="19" bestFit="1" customWidth="1"/>
    <col min="3" max="3" width="56.54296875" customWidth="1"/>
    <col min="4" max="4" width="21.1796875" customWidth="1"/>
    <col min="5" max="5" width="30.453125" customWidth="1"/>
    <col min="6" max="6" width="77.26953125" bestFit="1" customWidth="1"/>
  </cols>
  <sheetData>
    <row r="1" spans="1:4" x14ac:dyDescent="0.35">
      <c r="A1" t="s">
        <v>407</v>
      </c>
      <c r="B1" t="s">
        <v>408</v>
      </c>
      <c r="C1" t="s">
        <v>409</v>
      </c>
      <c r="D1" t="s">
        <v>410</v>
      </c>
    </row>
    <row r="2" spans="1:4" x14ac:dyDescent="0.35">
      <c r="A2" t="s">
        <v>88</v>
      </c>
      <c r="B2" t="s">
        <v>113</v>
      </c>
      <c r="C2" t="s">
        <v>118</v>
      </c>
      <c r="D2">
        <v>6</v>
      </c>
    </row>
    <row r="3" spans="1:4" x14ac:dyDescent="0.35">
      <c r="A3" t="s">
        <v>89</v>
      </c>
      <c r="B3" t="s">
        <v>113</v>
      </c>
      <c r="C3" t="s">
        <v>119</v>
      </c>
      <c r="D3">
        <v>43</v>
      </c>
    </row>
    <row r="4" spans="1:4" x14ac:dyDescent="0.35">
      <c r="A4" t="s">
        <v>90</v>
      </c>
      <c r="B4" t="s">
        <v>113</v>
      </c>
      <c r="C4" t="s">
        <v>120</v>
      </c>
      <c r="D4">
        <v>34</v>
      </c>
    </row>
    <row r="5" spans="1:4" x14ac:dyDescent="0.35">
      <c r="A5" t="s">
        <v>91</v>
      </c>
      <c r="B5" t="s">
        <v>113</v>
      </c>
      <c r="C5" t="s">
        <v>121</v>
      </c>
      <c r="D5">
        <v>23</v>
      </c>
    </row>
    <row r="6" spans="1:4" x14ac:dyDescent="0.35">
      <c r="A6" t="s">
        <v>92</v>
      </c>
      <c r="B6" t="s">
        <v>113</v>
      </c>
      <c r="C6" t="s">
        <v>122</v>
      </c>
      <c r="D6">
        <v>51</v>
      </c>
    </row>
    <row r="7" spans="1:4" x14ac:dyDescent="0.35">
      <c r="A7" t="s">
        <v>93</v>
      </c>
      <c r="B7" t="s">
        <v>113</v>
      </c>
      <c r="C7" t="s">
        <v>123</v>
      </c>
      <c r="D7">
        <v>39</v>
      </c>
    </row>
    <row r="8" spans="1:4" x14ac:dyDescent="0.35">
      <c r="A8" t="s">
        <v>94</v>
      </c>
      <c r="B8" t="s">
        <v>113</v>
      </c>
      <c r="C8" t="s">
        <v>124</v>
      </c>
      <c r="D8">
        <v>11</v>
      </c>
    </row>
    <row r="9" spans="1:4" x14ac:dyDescent="0.35">
      <c r="A9" t="s">
        <v>95</v>
      </c>
      <c r="B9" t="s">
        <v>113</v>
      </c>
      <c r="C9" t="s">
        <v>125</v>
      </c>
      <c r="D9">
        <v>31</v>
      </c>
    </row>
    <row r="10" spans="1:4" x14ac:dyDescent="0.35">
      <c r="A10" t="s">
        <v>96</v>
      </c>
      <c r="B10" t="s">
        <v>113</v>
      </c>
      <c r="C10" t="s">
        <v>121</v>
      </c>
      <c r="D10">
        <v>23</v>
      </c>
    </row>
    <row r="11" spans="1:4" x14ac:dyDescent="0.35">
      <c r="A11" t="s">
        <v>97</v>
      </c>
      <c r="B11" t="s">
        <v>113</v>
      </c>
      <c r="C11" t="s">
        <v>126</v>
      </c>
      <c r="D11">
        <v>12</v>
      </c>
    </row>
    <row r="12" spans="1:4" x14ac:dyDescent="0.35">
      <c r="A12" t="s">
        <v>98</v>
      </c>
      <c r="B12" t="s">
        <v>113</v>
      </c>
      <c r="C12" t="s">
        <v>127</v>
      </c>
      <c r="D12">
        <v>10</v>
      </c>
    </row>
    <row r="13" spans="1:4" x14ac:dyDescent="0.35">
      <c r="A13" t="s">
        <v>99</v>
      </c>
      <c r="B13" t="s">
        <v>113</v>
      </c>
      <c r="C13" t="s">
        <v>128</v>
      </c>
      <c r="D13">
        <v>15</v>
      </c>
    </row>
    <row r="14" spans="1:4" x14ac:dyDescent="0.35">
      <c r="A14" t="s">
        <v>100</v>
      </c>
      <c r="B14" t="s">
        <v>113</v>
      </c>
      <c r="C14" t="s">
        <v>129</v>
      </c>
      <c r="D14">
        <v>125</v>
      </c>
    </row>
    <row r="15" spans="1:4" x14ac:dyDescent="0.35">
      <c r="A15" t="s">
        <v>88</v>
      </c>
      <c r="B15" t="s">
        <v>130</v>
      </c>
      <c r="C15" t="s">
        <v>132</v>
      </c>
      <c r="D15" t="s">
        <v>132</v>
      </c>
    </row>
    <row r="16" spans="1:4" x14ac:dyDescent="0.35">
      <c r="A16" t="s">
        <v>89</v>
      </c>
      <c r="B16" t="s">
        <v>130</v>
      </c>
      <c r="C16" t="s">
        <v>133</v>
      </c>
      <c r="D16" t="s">
        <v>133</v>
      </c>
    </row>
    <row r="17" spans="1:4" x14ac:dyDescent="0.35">
      <c r="A17" t="s">
        <v>90</v>
      </c>
      <c r="B17" t="s">
        <v>130</v>
      </c>
      <c r="C17" t="s">
        <v>133</v>
      </c>
      <c r="D17" t="s">
        <v>133</v>
      </c>
    </row>
    <row r="18" spans="1:4" x14ac:dyDescent="0.35">
      <c r="A18" t="s">
        <v>91</v>
      </c>
      <c r="B18" t="s">
        <v>130</v>
      </c>
      <c r="C18" t="s">
        <v>133</v>
      </c>
      <c r="D18" t="s">
        <v>133</v>
      </c>
    </row>
    <row r="19" spans="1:4" x14ac:dyDescent="0.35">
      <c r="A19" t="s">
        <v>92</v>
      </c>
      <c r="B19" t="s">
        <v>130</v>
      </c>
      <c r="C19" t="s">
        <v>133</v>
      </c>
      <c r="D19" t="s">
        <v>133</v>
      </c>
    </row>
    <row r="20" spans="1:4" x14ac:dyDescent="0.35">
      <c r="A20" t="s">
        <v>93</v>
      </c>
      <c r="B20" t="s">
        <v>130</v>
      </c>
      <c r="C20" t="s">
        <v>133</v>
      </c>
      <c r="D20" t="s">
        <v>133</v>
      </c>
    </row>
    <row r="21" spans="1:4" x14ac:dyDescent="0.35">
      <c r="A21" t="s">
        <v>94</v>
      </c>
      <c r="B21" t="s">
        <v>130</v>
      </c>
      <c r="C21" t="s">
        <v>134</v>
      </c>
      <c r="D21" t="s">
        <v>134</v>
      </c>
    </row>
    <row r="22" spans="1:4" x14ac:dyDescent="0.35">
      <c r="A22" t="s">
        <v>95</v>
      </c>
      <c r="B22" t="s">
        <v>130</v>
      </c>
      <c r="C22" t="s">
        <v>133</v>
      </c>
      <c r="D22" t="s">
        <v>133</v>
      </c>
    </row>
    <row r="23" spans="1:4" x14ac:dyDescent="0.35">
      <c r="A23" t="s">
        <v>96</v>
      </c>
      <c r="B23" t="s">
        <v>130</v>
      </c>
      <c r="C23" t="s">
        <v>133</v>
      </c>
      <c r="D23" t="s">
        <v>133</v>
      </c>
    </row>
    <row r="24" spans="1:4" x14ac:dyDescent="0.35">
      <c r="A24" t="s">
        <v>97</v>
      </c>
      <c r="B24" t="s">
        <v>130</v>
      </c>
      <c r="C24" t="s">
        <v>133</v>
      </c>
      <c r="D24" t="s">
        <v>133</v>
      </c>
    </row>
    <row r="25" spans="1:4" x14ac:dyDescent="0.35">
      <c r="A25" t="s">
        <v>98</v>
      </c>
      <c r="B25" t="s">
        <v>130</v>
      </c>
      <c r="C25" t="s">
        <v>133</v>
      </c>
      <c r="D25" t="s">
        <v>133</v>
      </c>
    </row>
    <row r="26" spans="1:4" x14ac:dyDescent="0.35">
      <c r="A26" t="s">
        <v>99</v>
      </c>
      <c r="B26" t="s">
        <v>130</v>
      </c>
      <c r="C26" t="s">
        <v>135</v>
      </c>
      <c r="D26" t="s">
        <v>132</v>
      </c>
    </row>
    <row r="27" spans="1:4" x14ac:dyDescent="0.35">
      <c r="A27" t="s">
        <v>100</v>
      </c>
      <c r="B27" t="s">
        <v>130</v>
      </c>
      <c r="C27" t="s">
        <v>136</v>
      </c>
      <c r="D27" t="s">
        <v>134</v>
      </c>
    </row>
    <row r="28" spans="1:4" x14ac:dyDescent="0.35">
      <c r="A28" t="s">
        <v>88</v>
      </c>
      <c r="B28" t="s">
        <v>411</v>
      </c>
      <c r="C28" t="s">
        <v>101</v>
      </c>
      <c r="D28" t="s">
        <v>412</v>
      </c>
    </row>
    <row r="29" spans="1:4" x14ac:dyDescent="0.35">
      <c r="A29" t="s">
        <v>89</v>
      </c>
      <c r="B29" t="s">
        <v>411</v>
      </c>
      <c r="C29" t="s">
        <v>102</v>
      </c>
      <c r="D29" t="s">
        <v>102</v>
      </c>
    </row>
    <row r="30" spans="1:4" x14ac:dyDescent="0.35">
      <c r="A30" t="s">
        <v>90</v>
      </c>
      <c r="B30" t="s">
        <v>411</v>
      </c>
      <c r="C30" t="s">
        <v>103</v>
      </c>
      <c r="D30" t="s">
        <v>108</v>
      </c>
    </row>
    <row r="31" spans="1:4" x14ac:dyDescent="0.35">
      <c r="A31" t="s">
        <v>91</v>
      </c>
      <c r="B31" t="s">
        <v>411</v>
      </c>
      <c r="C31" t="s">
        <v>104</v>
      </c>
      <c r="D31" t="s">
        <v>104</v>
      </c>
    </row>
    <row r="32" spans="1:4" x14ac:dyDescent="0.35">
      <c r="A32" t="s">
        <v>92</v>
      </c>
      <c r="B32" t="s">
        <v>411</v>
      </c>
      <c r="C32" t="s">
        <v>105</v>
      </c>
      <c r="D32" t="s">
        <v>105</v>
      </c>
    </row>
    <row r="33" spans="1:4" x14ac:dyDescent="0.35">
      <c r="A33" t="s">
        <v>93</v>
      </c>
      <c r="B33" t="s">
        <v>411</v>
      </c>
      <c r="C33" t="s">
        <v>105</v>
      </c>
      <c r="D33" t="s">
        <v>105</v>
      </c>
    </row>
    <row r="34" spans="1:4" x14ac:dyDescent="0.35">
      <c r="A34" t="s">
        <v>94</v>
      </c>
      <c r="B34" t="s">
        <v>411</v>
      </c>
      <c r="C34" t="s">
        <v>106</v>
      </c>
      <c r="D34" t="s">
        <v>412</v>
      </c>
    </row>
    <row r="35" spans="1:4" x14ac:dyDescent="0.35">
      <c r="A35" t="s">
        <v>95</v>
      </c>
      <c r="B35" t="s">
        <v>411</v>
      </c>
      <c r="C35" t="s">
        <v>107</v>
      </c>
    </row>
    <row r="36" spans="1:4" x14ac:dyDescent="0.35">
      <c r="A36" t="s">
        <v>96</v>
      </c>
      <c r="B36" t="s">
        <v>411</v>
      </c>
      <c r="C36" t="s">
        <v>104</v>
      </c>
      <c r="D36" t="s">
        <v>104</v>
      </c>
    </row>
    <row r="37" spans="1:4" x14ac:dyDescent="0.35">
      <c r="A37" t="s">
        <v>97</v>
      </c>
      <c r="B37" t="s">
        <v>411</v>
      </c>
      <c r="C37" t="s">
        <v>108</v>
      </c>
      <c r="D37" t="s">
        <v>108</v>
      </c>
    </row>
    <row r="38" spans="1:4" x14ac:dyDescent="0.35">
      <c r="A38" t="s">
        <v>98</v>
      </c>
      <c r="B38" t="s">
        <v>411</v>
      </c>
      <c r="C38" t="s">
        <v>109</v>
      </c>
      <c r="D38" t="s">
        <v>412</v>
      </c>
    </row>
    <row r="39" spans="1:4" x14ac:dyDescent="0.35">
      <c r="A39" t="s">
        <v>99</v>
      </c>
      <c r="B39" t="s">
        <v>411</v>
      </c>
      <c r="C39" t="s">
        <v>110</v>
      </c>
      <c r="D39" t="s">
        <v>412</v>
      </c>
    </row>
    <row r="40" spans="1:4" x14ac:dyDescent="0.35">
      <c r="A40" t="s">
        <v>100</v>
      </c>
      <c r="B40" t="s">
        <v>411</v>
      </c>
      <c r="C40" t="s">
        <v>111</v>
      </c>
      <c r="D40" t="s">
        <v>412</v>
      </c>
    </row>
    <row r="41" spans="1:4" x14ac:dyDescent="0.35">
      <c r="A41" t="s">
        <v>88</v>
      </c>
      <c r="B41" t="s">
        <v>189</v>
      </c>
      <c r="C41" t="s">
        <v>413</v>
      </c>
      <c r="D41" t="s">
        <v>414</v>
      </c>
    </row>
    <row r="42" spans="1:4" x14ac:dyDescent="0.35">
      <c r="A42" t="s">
        <v>89</v>
      </c>
      <c r="B42" t="s">
        <v>189</v>
      </c>
      <c r="C42" t="s">
        <v>415</v>
      </c>
      <c r="D42" t="s">
        <v>416</v>
      </c>
    </row>
    <row r="43" spans="1:4" x14ac:dyDescent="0.35">
      <c r="A43" t="s">
        <v>90</v>
      </c>
      <c r="B43" t="s">
        <v>189</v>
      </c>
      <c r="C43" t="s">
        <v>417</v>
      </c>
      <c r="D43" t="s">
        <v>418</v>
      </c>
    </row>
    <row r="44" spans="1:4" x14ac:dyDescent="0.35">
      <c r="A44" t="s">
        <v>91</v>
      </c>
      <c r="B44" t="s">
        <v>189</v>
      </c>
      <c r="C44" t="s">
        <v>419</v>
      </c>
      <c r="D44" t="s">
        <v>420</v>
      </c>
    </row>
    <row r="45" spans="1:4" x14ac:dyDescent="0.35">
      <c r="A45" t="s">
        <v>92</v>
      </c>
      <c r="B45" t="s">
        <v>189</v>
      </c>
      <c r="C45" t="s">
        <v>421</v>
      </c>
      <c r="D45" t="s">
        <v>422</v>
      </c>
    </row>
    <row r="46" spans="1:4" x14ac:dyDescent="0.35">
      <c r="A46" t="s">
        <v>93</v>
      </c>
      <c r="B46" t="s">
        <v>189</v>
      </c>
      <c r="C46" t="s">
        <v>423</v>
      </c>
      <c r="D46" t="s">
        <v>422</v>
      </c>
    </row>
    <row r="47" spans="1:4" x14ac:dyDescent="0.35">
      <c r="A47" t="s">
        <v>94</v>
      </c>
      <c r="B47" t="s">
        <v>189</v>
      </c>
      <c r="C47" t="s">
        <v>424</v>
      </c>
      <c r="D47" t="s">
        <v>425</v>
      </c>
    </row>
    <row r="48" spans="1:4" x14ac:dyDescent="0.35">
      <c r="A48" t="s">
        <v>95</v>
      </c>
      <c r="B48" t="s">
        <v>189</v>
      </c>
      <c r="C48" t="s">
        <v>426</v>
      </c>
      <c r="D48" t="s">
        <v>427</v>
      </c>
    </row>
    <row r="49" spans="1:5" x14ac:dyDescent="0.35">
      <c r="A49" t="s">
        <v>96</v>
      </c>
      <c r="B49" t="s">
        <v>189</v>
      </c>
      <c r="C49" t="s">
        <v>428</v>
      </c>
      <c r="D49" t="s">
        <v>429</v>
      </c>
      <c r="E49" t="s">
        <v>430</v>
      </c>
    </row>
    <row r="50" spans="1:5" x14ac:dyDescent="0.35">
      <c r="A50" t="s">
        <v>97</v>
      </c>
      <c r="B50" t="s">
        <v>189</v>
      </c>
      <c r="C50" t="s">
        <v>431</v>
      </c>
      <c r="D50" t="s">
        <v>432</v>
      </c>
      <c r="E50" t="s">
        <v>430</v>
      </c>
    </row>
    <row r="51" spans="1:5" x14ac:dyDescent="0.35">
      <c r="A51" t="s">
        <v>98</v>
      </c>
      <c r="B51" t="s">
        <v>189</v>
      </c>
      <c r="C51" t="s">
        <v>431</v>
      </c>
      <c r="D51" t="s">
        <v>432</v>
      </c>
      <c r="E51" t="s">
        <v>430</v>
      </c>
    </row>
    <row r="52" spans="1:5" x14ac:dyDescent="0.35">
      <c r="A52" t="s">
        <v>99</v>
      </c>
      <c r="B52" t="s">
        <v>189</v>
      </c>
      <c r="C52" t="s">
        <v>433</v>
      </c>
      <c r="D52" t="s">
        <v>434</v>
      </c>
      <c r="E52" t="s">
        <v>435</v>
      </c>
    </row>
    <row r="53" spans="1:5" x14ac:dyDescent="0.35">
      <c r="A53" t="s">
        <v>100</v>
      </c>
      <c r="B53" t="s">
        <v>189</v>
      </c>
      <c r="C53" t="s">
        <v>436</v>
      </c>
      <c r="D53" t="s">
        <v>437</v>
      </c>
      <c r="E53" t="s">
        <v>438</v>
      </c>
    </row>
    <row r="54" spans="1:5" x14ac:dyDescent="0.35">
      <c r="A54" t="s">
        <v>88</v>
      </c>
      <c r="B54" t="s">
        <v>189</v>
      </c>
      <c r="C54" t="s">
        <v>413</v>
      </c>
      <c r="D54" t="s">
        <v>439</v>
      </c>
    </row>
    <row r="55" spans="1:5" x14ac:dyDescent="0.35">
      <c r="A55" t="s">
        <v>89</v>
      </c>
      <c r="B55" t="s">
        <v>189</v>
      </c>
      <c r="C55" t="s">
        <v>415</v>
      </c>
      <c r="D55" t="s">
        <v>440</v>
      </c>
    </row>
    <row r="56" spans="1:5" x14ac:dyDescent="0.35">
      <c r="A56" t="s">
        <v>90</v>
      </c>
      <c r="B56" t="s">
        <v>189</v>
      </c>
      <c r="C56" t="s">
        <v>417</v>
      </c>
      <c r="D56" t="s">
        <v>441</v>
      </c>
    </row>
    <row r="57" spans="1:5" x14ac:dyDescent="0.35">
      <c r="A57" t="s">
        <v>91</v>
      </c>
      <c r="B57" t="s">
        <v>189</v>
      </c>
      <c r="C57" t="s">
        <v>419</v>
      </c>
      <c r="D57" t="s">
        <v>439</v>
      </c>
    </row>
    <row r="58" spans="1:5" x14ac:dyDescent="0.35">
      <c r="A58" t="s">
        <v>92</v>
      </c>
      <c r="B58" t="s">
        <v>189</v>
      </c>
      <c r="C58" t="s">
        <v>421</v>
      </c>
      <c r="D58" t="s">
        <v>442</v>
      </c>
    </row>
    <row r="59" spans="1:5" x14ac:dyDescent="0.35">
      <c r="A59" t="s">
        <v>93</v>
      </c>
      <c r="B59" t="s">
        <v>189</v>
      </c>
      <c r="C59" t="s">
        <v>423</v>
      </c>
      <c r="D59" t="s">
        <v>443</v>
      </c>
    </row>
    <row r="60" spans="1:5" x14ac:dyDescent="0.35">
      <c r="A60" t="s">
        <v>94</v>
      </c>
      <c r="B60" t="s">
        <v>189</v>
      </c>
      <c r="C60" t="s">
        <v>424</v>
      </c>
      <c r="D60" t="s">
        <v>444</v>
      </c>
    </row>
    <row r="61" spans="1:5" x14ac:dyDescent="0.35">
      <c r="A61" t="s">
        <v>95</v>
      </c>
      <c r="B61" t="s">
        <v>189</v>
      </c>
      <c r="C61" t="s">
        <v>426</v>
      </c>
      <c r="D61" t="s">
        <v>445</v>
      </c>
    </row>
    <row r="62" spans="1:5" x14ac:dyDescent="0.35">
      <c r="A62" t="s">
        <v>96</v>
      </c>
      <c r="B62" t="s">
        <v>189</v>
      </c>
      <c r="C62" t="s">
        <v>428</v>
      </c>
      <c r="D62" t="s">
        <v>446</v>
      </c>
    </row>
    <row r="63" spans="1:5" x14ac:dyDescent="0.35">
      <c r="A63" t="s">
        <v>97</v>
      </c>
      <c r="B63" t="s">
        <v>189</v>
      </c>
      <c r="C63" t="s">
        <v>431</v>
      </c>
      <c r="D63" t="s">
        <v>447</v>
      </c>
    </row>
    <row r="64" spans="1:5" x14ac:dyDescent="0.35">
      <c r="A64" t="s">
        <v>98</v>
      </c>
      <c r="B64" t="s">
        <v>189</v>
      </c>
      <c r="C64" t="s">
        <v>431</v>
      </c>
      <c r="D64" t="s">
        <v>447</v>
      </c>
    </row>
    <row r="65" spans="1:4" x14ac:dyDescent="0.35">
      <c r="A65" t="s">
        <v>99</v>
      </c>
      <c r="B65" t="s">
        <v>189</v>
      </c>
      <c r="C65" t="s">
        <v>433</v>
      </c>
      <c r="D65" t="s">
        <v>448</v>
      </c>
    </row>
    <row r="66" spans="1:4" x14ac:dyDescent="0.35">
      <c r="A66" t="s">
        <v>100</v>
      </c>
      <c r="B66" t="s">
        <v>189</v>
      </c>
      <c r="C66" t="s">
        <v>436</v>
      </c>
      <c r="D66" t="s">
        <v>449</v>
      </c>
    </row>
    <row r="67" spans="1:4" x14ac:dyDescent="0.35">
      <c r="A67" t="s">
        <v>99</v>
      </c>
      <c r="B67" t="s">
        <v>189</v>
      </c>
      <c r="C67" t="s">
        <v>433</v>
      </c>
      <c r="D67" t="s">
        <v>450</v>
      </c>
    </row>
    <row r="68" spans="1:4" x14ac:dyDescent="0.35">
      <c r="A68" t="s">
        <v>100</v>
      </c>
      <c r="B68" t="s">
        <v>189</v>
      </c>
      <c r="C68" t="s">
        <v>436</v>
      </c>
      <c r="D68" t="s">
        <v>451</v>
      </c>
    </row>
    <row r="69" spans="1:4" x14ac:dyDescent="0.35">
      <c r="A69" t="s">
        <v>88</v>
      </c>
      <c r="B69" t="s">
        <v>189</v>
      </c>
      <c r="C69" t="s">
        <v>413</v>
      </c>
      <c r="D69" t="s">
        <v>452</v>
      </c>
    </row>
    <row r="70" spans="1:4" x14ac:dyDescent="0.35">
      <c r="A70" t="s">
        <v>89</v>
      </c>
      <c r="B70" t="s">
        <v>189</v>
      </c>
      <c r="C70" t="s">
        <v>415</v>
      </c>
      <c r="D70" t="s">
        <v>453</v>
      </c>
    </row>
    <row r="71" spans="1:4" x14ac:dyDescent="0.35">
      <c r="A71" t="s">
        <v>90</v>
      </c>
      <c r="B71" t="s">
        <v>189</v>
      </c>
      <c r="C71" t="s">
        <v>417</v>
      </c>
      <c r="D71" t="s">
        <v>454</v>
      </c>
    </row>
    <row r="72" spans="1:4" x14ac:dyDescent="0.35">
      <c r="A72" t="s">
        <v>91</v>
      </c>
      <c r="B72" t="s">
        <v>189</v>
      </c>
      <c r="C72" t="s">
        <v>419</v>
      </c>
      <c r="D72" t="s">
        <v>455</v>
      </c>
    </row>
    <row r="73" spans="1:4" x14ac:dyDescent="0.35">
      <c r="A73" t="s">
        <v>92</v>
      </c>
      <c r="B73" t="s">
        <v>189</v>
      </c>
      <c r="C73" t="s">
        <v>421</v>
      </c>
      <c r="D73" t="s">
        <v>456</v>
      </c>
    </row>
    <row r="74" spans="1:4" x14ac:dyDescent="0.35">
      <c r="A74" t="s">
        <v>93</v>
      </c>
      <c r="B74" t="s">
        <v>189</v>
      </c>
      <c r="C74" t="s">
        <v>423</v>
      </c>
      <c r="D74" t="s">
        <v>457</v>
      </c>
    </row>
    <row r="75" spans="1:4" x14ac:dyDescent="0.35">
      <c r="A75" t="s">
        <v>94</v>
      </c>
      <c r="B75" t="s">
        <v>189</v>
      </c>
      <c r="C75" t="s">
        <v>424</v>
      </c>
      <c r="D75" t="s">
        <v>458</v>
      </c>
    </row>
    <row r="76" spans="1:4" x14ac:dyDescent="0.35">
      <c r="A76" t="s">
        <v>95</v>
      </c>
      <c r="B76" t="s">
        <v>189</v>
      </c>
      <c r="C76" t="s">
        <v>426</v>
      </c>
      <c r="D76" t="s">
        <v>459</v>
      </c>
    </row>
    <row r="77" spans="1:4" x14ac:dyDescent="0.35">
      <c r="A77" t="s">
        <v>96</v>
      </c>
      <c r="B77" t="s">
        <v>189</v>
      </c>
      <c r="C77" t="s">
        <v>428</v>
      </c>
      <c r="D77" t="s">
        <v>459</v>
      </c>
    </row>
    <row r="78" spans="1:4" x14ac:dyDescent="0.35">
      <c r="A78" t="s">
        <v>97</v>
      </c>
      <c r="B78" t="s">
        <v>189</v>
      </c>
      <c r="C78" t="s">
        <v>431</v>
      </c>
      <c r="D78" t="s">
        <v>460</v>
      </c>
    </row>
    <row r="79" spans="1:4" x14ac:dyDescent="0.35">
      <c r="A79" t="s">
        <v>98</v>
      </c>
      <c r="B79" t="s">
        <v>189</v>
      </c>
      <c r="C79" t="s">
        <v>431</v>
      </c>
      <c r="D79" t="s">
        <v>461</v>
      </c>
    </row>
    <row r="80" spans="1:4" x14ac:dyDescent="0.35">
      <c r="A80" t="s">
        <v>99</v>
      </c>
      <c r="B80" t="s">
        <v>189</v>
      </c>
      <c r="C80" t="s">
        <v>433</v>
      </c>
    </row>
    <row r="81" spans="1:3" x14ac:dyDescent="0.35">
      <c r="A81" t="s">
        <v>100</v>
      </c>
      <c r="B81" t="s">
        <v>189</v>
      </c>
      <c r="C81" t="s">
        <v>436</v>
      </c>
    </row>
  </sheetData>
  <autoFilter ref="A1:D81" xr:uid="{E1F9247C-F9E3-4784-8032-15D25FECBA1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2023</vt:lpstr>
      <vt:lpstr>2024</vt:lpstr>
      <vt:lpstr>NewTest</vt:lpstr>
      <vt:lpstr>NewTest_sentFlorent</vt:lpstr>
      <vt:lpstr>Sheet1</vt:lpstr>
      <vt:lpstr>TestFramework</vt:lpstr>
    </vt:vector>
  </TitlesOfParts>
  <Manager/>
  <Company>GNS Science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Celia Wells</dc:creator>
  <cp:keywords/>
  <dc:description/>
  <cp:lastModifiedBy>Quyen Nguyen</cp:lastModifiedBy>
  <cp:revision/>
  <dcterms:created xsi:type="dcterms:W3CDTF">2023-01-05T07:03:49Z</dcterms:created>
  <dcterms:modified xsi:type="dcterms:W3CDTF">2026-10-19T22:03:08Z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2026-10-05T00:37:17Z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f8c50276-a201-408e-a8b4-aa496e2a26cf</vt:lpwstr>
  </property>
  <property fmtid="{D5CDD505-2E9C-101B-9397-08002B2CF9AE}" pid="7" name="MSIP_Label_defa4170-0d19-0005-0004-bc88714345d2_ActionId">
    <vt:lpwstr>becaa6df-4b99-4fed-a5bd-4bb0f493f5d4</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